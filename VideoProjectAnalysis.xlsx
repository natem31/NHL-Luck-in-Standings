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bson-my.sharepoint.com/personal/nmueller1_babson_edu/Documents/"/>
    </mc:Choice>
  </mc:AlternateContent>
  <xr:revisionPtr revIDLastSave="4610" documentId="8_{0B1B30D6-CBA0-4EFB-9C8B-AA2D4019A01B}" xr6:coauthVersionLast="47" xr6:coauthVersionMax="47" xr10:uidLastSave="{6E3E4BAC-99BB-49BF-9A45-8802C1621526}"/>
  <bookViews>
    <workbookView xWindow="-110" yWindow="-110" windowWidth="19420" windowHeight="11500" xr2:uid="{51658058-8315-A640-B733-1DFC39D6EEC8}"/>
  </bookViews>
  <sheets>
    <sheet name="Data" sheetId="1" r:id="rId1"/>
    <sheet name="Regression Analysis" sheetId="8" r:id="rId2"/>
    <sheet name="PDO vs Net Luck" sheetId="9" r:id="rId3"/>
    <sheet name="Outlier Analysis" sheetId="2" r:id="rId4"/>
    <sheet name="Step 1 Regressions" sheetId="10" r:id="rId5"/>
    <sheet name="Net Luck Quality Chart" sheetId="12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I4" i="12"/>
  <c r="I5" i="12"/>
  <c r="I6" i="12"/>
  <c r="I2" i="12"/>
  <c r="L3" i="12"/>
  <c r="L4" i="12"/>
  <c r="L5" i="12"/>
  <c r="L6" i="12"/>
  <c r="L2" i="12"/>
  <c r="K6" i="12"/>
  <c r="K5" i="12"/>
  <c r="K4" i="12"/>
  <c r="K3" i="12"/>
  <c r="K2" i="12"/>
  <c r="J6" i="12"/>
  <c r="J5" i="12"/>
  <c r="J4" i="12"/>
  <c r="J3" i="12"/>
  <c r="J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2" i="12"/>
  <c r="Y46" i="10"/>
  <c r="V46" i="10"/>
  <c r="T47" i="10"/>
  <c r="T60" i="10"/>
  <c r="T61" i="10"/>
  <c r="T46" i="10"/>
  <c r="U46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B12" i="9"/>
  <c r="AB3" i="1"/>
  <c r="B9" i="10"/>
  <c r="B10" i="10"/>
  <c r="T48" i="10" s="1"/>
  <c r="B11" i="10"/>
  <c r="T49" i="10" s="1"/>
  <c r="B12" i="10"/>
  <c r="T50" i="10" s="1"/>
  <c r="B13" i="10"/>
  <c r="T51" i="10" s="1"/>
  <c r="B14" i="10"/>
  <c r="T52" i="10" s="1"/>
  <c r="B15" i="10"/>
  <c r="T53" i="10" s="1"/>
  <c r="B16" i="10"/>
  <c r="T54" i="10" s="1"/>
  <c r="B17" i="10"/>
  <c r="T55" i="10" s="1"/>
  <c r="B18" i="10"/>
  <c r="T56" i="10" s="1"/>
  <c r="B19" i="10"/>
  <c r="T57" i="10" s="1"/>
  <c r="B20" i="10"/>
  <c r="T58" i="10" s="1"/>
  <c r="B21" i="10"/>
  <c r="T59" i="10" s="1"/>
  <c r="B22" i="10"/>
  <c r="B23" i="10"/>
  <c r="B24" i="10"/>
  <c r="T62" i="10" s="1"/>
  <c r="B25" i="10"/>
  <c r="T63" i="10" s="1"/>
  <c r="B26" i="10"/>
  <c r="T64" i="10" s="1"/>
  <c r="B27" i="10"/>
  <c r="T65" i="10" s="1"/>
  <c r="B28" i="10"/>
  <c r="T66" i="10" s="1"/>
  <c r="B29" i="10"/>
  <c r="T67" i="10" s="1"/>
  <c r="B30" i="10"/>
  <c r="T68" i="10" s="1"/>
  <c r="B31" i="10"/>
  <c r="T69" i="10" s="1"/>
  <c r="B32" i="10"/>
  <c r="T70" i="10" s="1"/>
  <c r="B33" i="10"/>
  <c r="T71" i="10" s="1"/>
  <c r="B34" i="10"/>
  <c r="T72" i="10" s="1"/>
  <c r="B35" i="10"/>
  <c r="T73" i="10" s="1"/>
  <c r="B36" i="10"/>
  <c r="T74" i="10" s="1"/>
  <c r="B37" i="10"/>
  <c r="T75" i="10" s="1"/>
  <c r="B38" i="10"/>
  <c r="T76" i="10" s="1"/>
  <c r="B39" i="10"/>
  <c r="T77" i="10" s="1"/>
  <c r="B40" i="10"/>
  <c r="T78" i="10" s="1"/>
  <c r="A17" i="9" l="1"/>
  <c r="B17" i="9"/>
  <c r="V6" i="8" s="1"/>
  <c r="A18" i="9"/>
  <c r="B18" i="9"/>
  <c r="V7" i="8" s="1"/>
  <c r="A19" i="9"/>
  <c r="B19" i="9"/>
  <c r="V8" i="8" s="1"/>
  <c r="A20" i="9"/>
  <c r="B20" i="9"/>
  <c r="V9" i="8" s="1"/>
  <c r="A21" i="9"/>
  <c r="B21" i="9"/>
  <c r="V10" i="8" s="1"/>
  <c r="A22" i="9"/>
  <c r="B22" i="9"/>
  <c r="V11" i="8" s="1"/>
  <c r="A23" i="9"/>
  <c r="B23" i="9"/>
  <c r="V12" i="8" s="1"/>
  <c r="A24" i="9"/>
  <c r="B24" i="9"/>
  <c r="V13" i="8" s="1"/>
  <c r="A25" i="9"/>
  <c r="B25" i="9"/>
  <c r="V14" i="8" s="1"/>
  <c r="A26" i="9"/>
  <c r="B26" i="9"/>
  <c r="V15" i="8" s="1"/>
  <c r="A27" i="9"/>
  <c r="B27" i="9"/>
  <c r="V16" i="8" s="1"/>
  <c r="A28" i="9"/>
  <c r="B28" i="9"/>
  <c r="V17" i="8" s="1"/>
  <c r="A29" i="9"/>
  <c r="B29" i="9"/>
  <c r="V18" i="8" s="1"/>
  <c r="A30" i="9"/>
  <c r="B30" i="9"/>
  <c r="V19" i="8" s="1"/>
  <c r="A31" i="9"/>
  <c r="B31" i="9"/>
  <c r="V20" i="8" s="1"/>
  <c r="A32" i="9"/>
  <c r="B32" i="9"/>
  <c r="V21" i="8" s="1"/>
  <c r="A33" i="9"/>
  <c r="B33" i="9"/>
  <c r="V22" i="8" s="1"/>
  <c r="A34" i="9"/>
  <c r="B34" i="9"/>
  <c r="V23" i="8" s="1"/>
  <c r="A35" i="9"/>
  <c r="B35" i="9"/>
  <c r="V24" i="8" s="1"/>
  <c r="A36" i="9"/>
  <c r="B36" i="9"/>
  <c r="V25" i="8" s="1"/>
  <c r="A37" i="9"/>
  <c r="B37" i="9"/>
  <c r="V26" i="8" s="1"/>
  <c r="A38" i="9"/>
  <c r="B38" i="9"/>
  <c r="V27" i="8" s="1"/>
  <c r="A39" i="9"/>
  <c r="B39" i="9"/>
  <c r="V28" i="8" s="1"/>
  <c r="A40" i="9"/>
  <c r="B40" i="9"/>
  <c r="V29" i="8" s="1"/>
  <c r="A41" i="9"/>
  <c r="B41" i="9"/>
  <c r="V30" i="8" s="1"/>
  <c r="A42" i="9"/>
  <c r="B42" i="9"/>
  <c r="V31" i="8" s="1"/>
  <c r="A43" i="9"/>
  <c r="B43" i="9"/>
  <c r="V32" i="8" s="1"/>
  <c r="A44" i="9"/>
  <c r="B44" i="9"/>
  <c r="V33" i="8" s="1"/>
  <c r="A45" i="9"/>
  <c r="B45" i="9"/>
  <c r="V34" i="8" s="1"/>
  <c r="A46" i="9"/>
  <c r="B46" i="9"/>
  <c r="V35" i="8" s="1"/>
  <c r="A47" i="9"/>
  <c r="B47" i="9"/>
  <c r="V36" i="8" s="1"/>
  <c r="A48" i="9"/>
  <c r="B48" i="9"/>
  <c r="V37" i="8" s="1"/>
  <c r="S2" i="1"/>
  <c r="S3" i="1"/>
  <c r="G10" i="10" s="1"/>
  <c r="S4" i="1"/>
  <c r="S5" i="1"/>
  <c r="G12" i="10" s="1"/>
  <c r="S6" i="1"/>
  <c r="G13" i="10" s="1"/>
  <c r="S7" i="1"/>
  <c r="S8" i="1"/>
  <c r="S9" i="1"/>
  <c r="S10" i="1"/>
  <c r="S11" i="1"/>
  <c r="S12" i="1"/>
  <c r="S13" i="1"/>
  <c r="G20" i="10" s="1"/>
  <c r="S14" i="1"/>
  <c r="S15" i="1"/>
  <c r="S16" i="1"/>
  <c r="S17" i="1"/>
  <c r="G24" i="10" s="1"/>
  <c r="S18" i="1"/>
  <c r="S19" i="1"/>
  <c r="S20" i="1"/>
  <c r="S21" i="1"/>
  <c r="S22" i="1"/>
  <c r="S23" i="1"/>
  <c r="S24" i="1"/>
  <c r="S25" i="1"/>
  <c r="S26" i="1"/>
  <c r="S27" i="1"/>
  <c r="G34" i="10" s="1"/>
  <c r="S28" i="1"/>
  <c r="S29" i="1"/>
  <c r="S30" i="1"/>
  <c r="S31" i="1"/>
  <c r="G38" i="10" s="1"/>
  <c r="S32" i="1"/>
  <c r="S33" i="1"/>
  <c r="Q2" i="1"/>
  <c r="Q3" i="1"/>
  <c r="Q4" i="1"/>
  <c r="Q5" i="1"/>
  <c r="Q6" i="1"/>
  <c r="Q7" i="1"/>
  <c r="Q8" i="1"/>
  <c r="Q9" i="1"/>
  <c r="Q10" i="1"/>
  <c r="Q11" i="1"/>
  <c r="F18" i="10" s="1"/>
  <c r="Q12" i="1"/>
  <c r="Q13" i="1"/>
  <c r="Q14" i="1"/>
  <c r="F21" i="10" s="1"/>
  <c r="Q15" i="1"/>
  <c r="Q16" i="1"/>
  <c r="Q17" i="1"/>
  <c r="Q18" i="1"/>
  <c r="Q19" i="1"/>
  <c r="Q20" i="1"/>
  <c r="Q21" i="1"/>
  <c r="Q22" i="1"/>
  <c r="Q23" i="1"/>
  <c r="Q24" i="1"/>
  <c r="Q25" i="1"/>
  <c r="Q26" i="1"/>
  <c r="F33" i="10" s="1"/>
  <c r="Q27" i="1"/>
  <c r="Q28" i="1"/>
  <c r="Q29" i="1"/>
  <c r="Q30" i="1"/>
  <c r="Q31" i="1"/>
  <c r="Q32" i="1"/>
  <c r="Q33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B9" i="1"/>
  <c r="AB8" i="1"/>
  <c r="AB7" i="1"/>
  <c r="AB5" i="1"/>
  <c r="AB4" i="1"/>
  <c r="AB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2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  <c r="B32" i="8" l="1"/>
  <c r="T14" i="1"/>
  <c r="X14" i="1" s="1"/>
  <c r="T28" i="1"/>
  <c r="X28" i="1" s="1"/>
  <c r="T15" i="1"/>
  <c r="X15" i="1" s="1"/>
  <c r="T29" i="1"/>
  <c r="X29" i="1" s="1"/>
  <c r="T2" i="1"/>
  <c r="X2" i="1" s="1"/>
  <c r="T16" i="1"/>
  <c r="X16" i="1" s="1"/>
  <c r="T30" i="1"/>
  <c r="X30" i="1" s="1"/>
  <c r="T3" i="1"/>
  <c r="X3" i="1" s="1"/>
  <c r="T17" i="1"/>
  <c r="X17" i="1" s="1"/>
  <c r="T31" i="1"/>
  <c r="X31" i="1" s="1"/>
  <c r="T4" i="1"/>
  <c r="X4" i="1" s="1"/>
  <c r="T18" i="1"/>
  <c r="X18" i="1" s="1"/>
  <c r="T32" i="1"/>
  <c r="X32" i="1" s="1"/>
  <c r="T5" i="1"/>
  <c r="X5" i="1" s="1"/>
  <c r="T19" i="1"/>
  <c r="X19" i="1" s="1"/>
  <c r="T33" i="1"/>
  <c r="X33" i="1" s="1"/>
  <c r="T6" i="1"/>
  <c r="X6" i="1" s="1"/>
  <c r="T20" i="1"/>
  <c r="X20" i="1" s="1"/>
  <c r="T7" i="1"/>
  <c r="X7" i="1" s="1"/>
  <c r="T21" i="1"/>
  <c r="X21" i="1" s="1"/>
  <c r="T8" i="1"/>
  <c r="X8" i="1" s="1"/>
  <c r="T22" i="1"/>
  <c r="X22" i="1" s="1"/>
  <c r="T9" i="1"/>
  <c r="X9" i="1" s="1"/>
  <c r="T23" i="1"/>
  <c r="X23" i="1" s="1"/>
  <c r="T10" i="1"/>
  <c r="X10" i="1" s="1"/>
  <c r="T24" i="1"/>
  <c r="X24" i="1" s="1"/>
  <c r="T11" i="1"/>
  <c r="X11" i="1" s="1"/>
  <c r="T25" i="1"/>
  <c r="X25" i="1" s="1"/>
  <c r="T12" i="1"/>
  <c r="X12" i="1" s="1"/>
  <c r="T26" i="1"/>
  <c r="X26" i="1" s="1"/>
  <c r="T13" i="1"/>
  <c r="X13" i="1" s="1"/>
  <c r="T27" i="1"/>
  <c r="X27" i="1" s="1"/>
  <c r="B7" i="8"/>
  <c r="F6" i="8" s="1"/>
  <c r="B8" i="8"/>
  <c r="G6" i="8" s="1"/>
  <c r="B9" i="8"/>
  <c r="H6" i="8" s="1"/>
  <c r="B37" i="8"/>
  <c r="B5" i="8"/>
  <c r="B28" i="8"/>
  <c r="B6" i="8"/>
  <c r="B33" i="8"/>
  <c r="B26" i="8"/>
  <c r="G8" i="8" s="1"/>
  <c r="B24" i="8"/>
  <c r="B27" i="8"/>
  <c r="H8" i="8" s="1"/>
  <c r="B19" i="8"/>
  <c r="B25" i="8"/>
  <c r="F8" i="8" s="1"/>
  <c r="B23" i="8"/>
  <c r="H5" i="10"/>
  <c r="F5" i="10"/>
  <c r="D5" i="10"/>
  <c r="B35" i="8"/>
  <c r="G9" i="8" s="1"/>
  <c r="B10" i="8"/>
  <c r="B34" i="8"/>
  <c r="F9" i="8" s="1"/>
  <c r="B36" i="8"/>
  <c r="H9" i="8" s="1"/>
  <c r="C39" i="10"/>
  <c r="C13" i="10"/>
  <c r="C27" i="10"/>
  <c r="J12" i="8"/>
  <c r="E15" i="10"/>
  <c r="V53" i="10" s="1"/>
  <c r="Y53" i="10" s="1"/>
  <c r="T12" i="8"/>
  <c r="C15" i="10"/>
  <c r="P35" i="8"/>
  <c r="F38" i="10"/>
  <c r="M38" i="10" s="1"/>
  <c r="P21" i="8"/>
  <c r="F24" i="10"/>
  <c r="M24" i="10" s="1"/>
  <c r="P7" i="8"/>
  <c r="F10" i="10"/>
  <c r="M10" i="10" s="1"/>
  <c r="S11" i="8"/>
  <c r="G14" i="10"/>
  <c r="J17" i="8"/>
  <c r="E20" i="10"/>
  <c r="V58" i="10" s="1"/>
  <c r="Y58" i="10" s="1"/>
  <c r="J31" i="8"/>
  <c r="E34" i="10"/>
  <c r="V72" i="10" s="1"/>
  <c r="Y72" i="10" s="1"/>
  <c r="Q13" i="8"/>
  <c r="C16" i="10"/>
  <c r="P34" i="8"/>
  <c r="F37" i="10"/>
  <c r="P6" i="8"/>
  <c r="F9" i="10"/>
  <c r="S10" i="8"/>
  <c r="J8" i="8"/>
  <c r="E11" i="10"/>
  <c r="V49" i="10" s="1"/>
  <c r="Y49" i="10" s="1"/>
  <c r="J22" i="8"/>
  <c r="E25" i="10"/>
  <c r="V63" i="10" s="1"/>
  <c r="Y63" i="10" s="1"/>
  <c r="Q14" i="8"/>
  <c r="C17" i="10"/>
  <c r="Q28" i="8"/>
  <c r="C31" i="10"/>
  <c r="P33" i="8"/>
  <c r="F36" i="10"/>
  <c r="P19" i="8"/>
  <c r="F22" i="10"/>
  <c r="S23" i="8"/>
  <c r="G26" i="10"/>
  <c r="S9" i="8"/>
  <c r="Q15" i="8"/>
  <c r="C18" i="10"/>
  <c r="T29" i="8"/>
  <c r="C32" i="10"/>
  <c r="P32" i="8"/>
  <c r="F35" i="10"/>
  <c r="W32" i="1"/>
  <c r="G39" i="10"/>
  <c r="J18" i="8"/>
  <c r="E21" i="10"/>
  <c r="V59" i="10" s="1"/>
  <c r="Y59" i="10" s="1"/>
  <c r="J32" i="8"/>
  <c r="E35" i="10"/>
  <c r="V73" i="10" s="1"/>
  <c r="Y73" i="10" s="1"/>
  <c r="P17" i="8"/>
  <c r="F20" i="10"/>
  <c r="M20" i="10" s="1"/>
  <c r="W15" i="1"/>
  <c r="G22" i="10"/>
  <c r="J19" i="8"/>
  <c r="E22" i="10"/>
  <c r="V60" i="10" s="1"/>
  <c r="Y60" i="10" s="1"/>
  <c r="J33" i="8"/>
  <c r="E36" i="10"/>
  <c r="V74" i="10" s="1"/>
  <c r="Y74" i="10" s="1"/>
  <c r="Q19" i="8"/>
  <c r="C22" i="10"/>
  <c r="K33" i="8"/>
  <c r="C36" i="10"/>
  <c r="P28" i="8"/>
  <c r="F31" i="10"/>
  <c r="P14" i="8"/>
  <c r="F17" i="10"/>
  <c r="S32" i="8"/>
  <c r="G35" i="10"/>
  <c r="S18" i="8"/>
  <c r="G21" i="10"/>
  <c r="M21" i="10" s="1"/>
  <c r="J10" i="8"/>
  <c r="E13" i="10"/>
  <c r="V51" i="10" s="1"/>
  <c r="Y51" i="10" s="1"/>
  <c r="J24" i="8"/>
  <c r="E27" i="10"/>
  <c r="V65" i="10" s="1"/>
  <c r="Y65" i="10" s="1"/>
  <c r="T6" i="8"/>
  <c r="C9" i="10"/>
  <c r="K20" i="8"/>
  <c r="C23" i="10"/>
  <c r="Q34" i="8"/>
  <c r="C37" i="10"/>
  <c r="P27" i="8"/>
  <c r="F30" i="10"/>
  <c r="P13" i="8"/>
  <c r="F16" i="10"/>
  <c r="J15" i="8"/>
  <c r="E18" i="10"/>
  <c r="V56" i="10" s="1"/>
  <c r="Y56" i="10" s="1"/>
  <c r="J29" i="8"/>
  <c r="E32" i="10"/>
  <c r="V70" i="10" s="1"/>
  <c r="Y70" i="10" s="1"/>
  <c r="N7" i="8"/>
  <c r="C10" i="10"/>
  <c r="Q21" i="8"/>
  <c r="C24" i="10"/>
  <c r="K35" i="8"/>
  <c r="C38" i="10"/>
  <c r="P26" i="8"/>
  <c r="F29" i="10"/>
  <c r="P12" i="8"/>
  <c r="F15" i="10"/>
  <c r="S30" i="8"/>
  <c r="G33" i="10"/>
  <c r="M33" i="10" s="1"/>
  <c r="S16" i="8"/>
  <c r="G19" i="10"/>
  <c r="J6" i="8"/>
  <c r="E9" i="10"/>
  <c r="V47" i="10" s="1"/>
  <c r="Y47" i="10" s="1"/>
  <c r="J20" i="8"/>
  <c r="E23" i="10"/>
  <c r="V61" i="10" s="1"/>
  <c r="Y61" i="10" s="1"/>
  <c r="J34" i="8"/>
  <c r="E37" i="10"/>
  <c r="V75" i="10" s="1"/>
  <c r="Y75" i="10" s="1"/>
  <c r="Q8" i="8"/>
  <c r="C11" i="10"/>
  <c r="K22" i="8"/>
  <c r="C25" i="10"/>
  <c r="P25" i="8"/>
  <c r="F28" i="10"/>
  <c r="P11" i="8"/>
  <c r="F14" i="10"/>
  <c r="S29" i="8"/>
  <c r="G32" i="10"/>
  <c r="S15" i="8"/>
  <c r="G18" i="10"/>
  <c r="M18" i="10" s="1"/>
  <c r="J11" i="8"/>
  <c r="E14" i="10"/>
  <c r="V52" i="10" s="1"/>
  <c r="Y52" i="10" s="1"/>
  <c r="J25" i="8"/>
  <c r="E28" i="10"/>
  <c r="V66" i="10" s="1"/>
  <c r="Y66" i="10" s="1"/>
  <c r="N9" i="8"/>
  <c r="C12" i="10"/>
  <c r="T23" i="8"/>
  <c r="C26" i="10"/>
  <c r="T37" i="8"/>
  <c r="C40" i="10"/>
  <c r="P24" i="8"/>
  <c r="F27" i="10"/>
  <c r="P10" i="8"/>
  <c r="F13" i="10"/>
  <c r="M13" i="10" s="1"/>
  <c r="W24" i="1"/>
  <c r="G31" i="10"/>
  <c r="S14" i="8"/>
  <c r="G17" i="10"/>
  <c r="J26" i="8"/>
  <c r="E29" i="10"/>
  <c r="V67" i="10" s="1"/>
  <c r="Y67" i="10" s="1"/>
  <c r="N26" i="8"/>
  <c r="C29" i="10"/>
  <c r="S25" i="8"/>
  <c r="G28" i="10"/>
  <c r="Q27" i="8"/>
  <c r="C30" i="10"/>
  <c r="P20" i="8"/>
  <c r="F23" i="10"/>
  <c r="S24" i="8"/>
  <c r="G27" i="10"/>
  <c r="J36" i="8"/>
  <c r="E39" i="10"/>
  <c r="V77" i="10" s="1"/>
  <c r="Y77" i="10" s="1"/>
  <c r="S37" i="8"/>
  <c r="G40" i="10"/>
  <c r="J13" i="8"/>
  <c r="E16" i="10"/>
  <c r="V54" i="10" s="1"/>
  <c r="Y54" i="10" s="1"/>
  <c r="J27" i="8"/>
  <c r="E30" i="10"/>
  <c r="V68" i="10" s="1"/>
  <c r="Y68" i="10" s="1"/>
  <c r="W18" i="1"/>
  <c r="G25" i="10"/>
  <c r="W4" i="1"/>
  <c r="G11" i="10"/>
  <c r="K16" i="8"/>
  <c r="C19" i="10"/>
  <c r="Q30" i="8"/>
  <c r="C33" i="10"/>
  <c r="P31" i="8"/>
  <c r="F34" i="10"/>
  <c r="M34" i="10" s="1"/>
  <c r="J9" i="8"/>
  <c r="E12" i="10"/>
  <c r="V50" i="10" s="1"/>
  <c r="Y50" i="10" s="1"/>
  <c r="J23" i="8"/>
  <c r="E26" i="10"/>
  <c r="V64" i="10" s="1"/>
  <c r="Y64" i="10" s="1"/>
  <c r="J37" i="8"/>
  <c r="E40" i="10"/>
  <c r="V78" i="10" s="1"/>
  <c r="Y78" i="10" s="1"/>
  <c r="Q17" i="8"/>
  <c r="C20" i="10"/>
  <c r="T31" i="8"/>
  <c r="C34" i="10"/>
  <c r="P16" i="8"/>
  <c r="F19" i="10"/>
  <c r="S34" i="8"/>
  <c r="G37" i="10"/>
  <c r="S20" i="8"/>
  <c r="G23" i="10"/>
  <c r="W2" i="1"/>
  <c r="G9" i="10"/>
  <c r="J14" i="8"/>
  <c r="E17" i="10"/>
  <c r="V55" i="10" s="1"/>
  <c r="Y55" i="10" s="1"/>
  <c r="J28" i="8"/>
  <c r="E31" i="10"/>
  <c r="V69" i="10" s="1"/>
  <c r="Y69" i="10" s="1"/>
  <c r="T18" i="8"/>
  <c r="C21" i="10"/>
  <c r="Q32" i="8"/>
  <c r="C35" i="10"/>
  <c r="P29" i="8"/>
  <c r="F32" i="10"/>
  <c r="W29" i="1"/>
  <c r="G36" i="10"/>
  <c r="W9" i="1"/>
  <c r="G16" i="10"/>
  <c r="J16" i="8"/>
  <c r="E19" i="10"/>
  <c r="V57" i="10" s="1"/>
  <c r="Y57" i="10" s="1"/>
  <c r="J30" i="8"/>
  <c r="E33" i="10"/>
  <c r="V71" i="10" s="1"/>
  <c r="Y71" i="10" s="1"/>
  <c r="P37" i="8"/>
  <c r="F40" i="10"/>
  <c r="P23" i="8"/>
  <c r="F26" i="10"/>
  <c r="P9" i="8"/>
  <c r="F12" i="10"/>
  <c r="M12" i="10" s="1"/>
  <c r="S27" i="8"/>
  <c r="G30" i="10"/>
  <c r="J7" i="8"/>
  <c r="E10" i="10"/>
  <c r="V48" i="10" s="1"/>
  <c r="Y48" i="10" s="1"/>
  <c r="J21" i="8"/>
  <c r="E24" i="10"/>
  <c r="V62" i="10" s="1"/>
  <c r="Y62" i="10" s="1"/>
  <c r="J35" i="8"/>
  <c r="E38" i="10"/>
  <c r="V76" i="10" s="1"/>
  <c r="Y76" i="10" s="1"/>
  <c r="Q11" i="8"/>
  <c r="C14" i="10"/>
  <c r="T25" i="8"/>
  <c r="C28" i="10"/>
  <c r="P36" i="8"/>
  <c r="F39" i="10"/>
  <c r="P22" i="8"/>
  <c r="F25" i="10"/>
  <c r="P8" i="8"/>
  <c r="F11" i="10"/>
  <c r="S26" i="8"/>
  <c r="G29" i="10"/>
  <c r="S12" i="8"/>
  <c r="G15" i="10"/>
  <c r="Y29" i="1"/>
  <c r="Z29" i="1" s="1"/>
  <c r="W27" i="1"/>
  <c r="W13" i="1"/>
  <c r="W6" i="1"/>
  <c r="W33" i="1"/>
  <c r="W5" i="1"/>
  <c r="S6" i="8"/>
  <c r="W31" i="1"/>
  <c r="W17" i="1"/>
  <c r="S13" i="8"/>
  <c r="W19" i="1"/>
  <c r="Y7" i="1"/>
  <c r="Z7" i="1" s="1"/>
  <c r="Y33" i="1"/>
  <c r="Z33" i="1" s="1"/>
  <c r="W23" i="1"/>
  <c r="Y21" i="1"/>
  <c r="Z21" i="1" s="1"/>
  <c r="W22" i="1"/>
  <c r="Y20" i="1"/>
  <c r="Z20" i="1" s="1"/>
  <c r="W21" i="1"/>
  <c r="Y19" i="1"/>
  <c r="Z19" i="1" s="1"/>
  <c r="Y26" i="1"/>
  <c r="Z26" i="1" s="1"/>
  <c r="W20" i="1"/>
  <c r="Y15" i="1"/>
  <c r="Z15" i="1" s="1"/>
  <c r="Y11" i="1"/>
  <c r="Z11" i="1" s="1"/>
  <c r="Y6" i="1"/>
  <c r="Z6" i="1" s="1"/>
  <c r="Y5" i="1"/>
  <c r="Z5" i="1" s="1"/>
  <c r="Y32" i="1"/>
  <c r="Z32" i="1" s="1"/>
  <c r="Y18" i="1"/>
  <c r="Z18" i="1" s="1"/>
  <c r="Y4" i="1"/>
  <c r="Z4" i="1" s="1"/>
  <c r="S28" i="8"/>
  <c r="Y31" i="1"/>
  <c r="Z31" i="1" s="1"/>
  <c r="Y17" i="1"/>
  <c r="Z17" i="1" s="1"/>
  <c r="Y3" i="1"/>
  <c r="Z3" i="1" s="1"/>
  <c r="W16" i="1"/>
  <c r="Y30" i="1"/>
  <c r="Z30" i="1" s="1"/>
  <c r="Y16" i="1"/>
  <c r="Z16" i="1" s="1"/>
  <c r="Y2" i="1"/>
  <c r="Z2" i="1" s="1"/>
  <c r="W11" i="1"/>
  <c r="Y27" i="1"/>
  <c r="Z27" i="1" s="1"/>
  <c r="Y13" i="1"/>
  <c r="Z13" i="1" s="1"/>
  <c r="W30" i="1"/>
  <c r="W10" i="1"/>
  <c r="Y12" i="1"/>
  <c r="Z12" i="1" s="1"/>
  <c r="W12" i="1"/>
  <c r="Y28" i="1"/>
  <c r="Z28" i="1" s="1"/>
  <c r="Y14" i="1"/>
  <c r="Z14" i="1" s="1"/>
  <c r="W28" i="1"/>
  <c r="Y25" i="1"/>
  <c r="Z25" i="1" s="1"/>
  <c r="W14" i="1"/>
  <c r="W26" i="1"/>
  <c r="W8" i="1"/>
  <c r="Y24" i="1"/>
  <c r="Z24" i="1" s="1"/>
  <c r="Y10" i="1"/>
  <c r="Z10" i="1" s="1"/>
  <c r="W25" i="1"/>
  <c r="W7" i="1"/>
  <c r="Y23" i="1"/>
  <c r="Z23" i="1" s="1"/>
  <c r="Y9" i="1"/>
  <c r="Z9" i="1" s="1"/>
  <c r="Y22" i="1"/>
  <c r="Z22" i="1" s="1"/>
  <c r="Y8" i="1"/>
  <c r="Z8" i="1" s="1"/>
  <c r="S36" i="8"/>
  <c r="S22" i="8"/>
  <c r="S8" i="8"/>
  <c r="S35" i="8"/>
  <c r="S21" i="8"/>
  <c r="S7" i="8"/>
  <c r="W3" i="1"/>
  <c r="S33" i="8"/>
  <c r="S19" i="8"/>
  <c r="S31" i="8"/>
  <c r="S17" i="8"/>
  <c r="V32" i="1"/>
  <c r="V20" i="1"/>
  <c r="V11" i="1"/>
  <c r="V26" i="1"/>
  <c r="V6" i="1"/>
  <c r="V10" i="1"/>
  <c r="V30" i="1"/>
  <c r="V33" i="1"/>
  <c r="Q7" i="8"/>
  <c r="Q9" i="8"/>
  <c r="K18" i="8"/>
  <c r="N20" i="8"/>
  <c r="N22" i="8"/>
  <c r="Q26" i="8"/>
  <c r="K31" i="8"/>
  <c r="N35" i="8"/>
  <c r="T13" i="8"/>
  <c r="T19" i="8"/>
  <c r="K6" i="8"/>
  <c r="K12" i="8"/>
  <c r="K14" i="8"/>
  <c r="Q24" i="8"/>
  <c r="K29" i="8"/>
  <c r="N33" i="8"/>
  <c r="Q37" i="8"/>
  <c r="T26" i="8"/>
  <c r="T32" i="8"/>
  <c r="K8" i="8"/>
  <c r="K10" i="8"/>
  <c r="N16" i="8"/>
  <c r="N18" i="8"/>
  <c r="Q20" i="8"/>
  <c r="K27" i="8"/>
  <c r="N31" i="8"/>
  <c r="Q35" i="8"/>
  <c r="T7" i="8"/>
  <c r="T14" i="8"/>
  <c r="N12" i="8"/>
  <c r="N14" i="8"/>
  <c r="P18" i="8"/>
  <c r="Q22" i="8"/>
  <c r="K25" i="8"/>
  <c r="N29" i="8"/>
  <c r="Q33" i="8"/>
  <c r="T20" i="8"/>
  <c r="T27" i="8"/>
  <c r="N6" i="8"/>
  <c r="N10" i="8"/>
  <c r="Q16" i="8"/>
  <c r="Q18" i="8"/>
  <c r="Q31" i="8"/>
  <c r="K36" i="8"/>
  <c r="T8" i="8"/>
  <c r="T33" i="8"/>
  <c r="N8" i="8"/>
  <c r="Q12" i="8"/>
  <c r="K21" i="8"/>
  <c r="K23" i="8"/>
  <c r="N25" i="8"/>
  <c r="N27" i="8"/>
  <c r="Q29" i="8"/>
  <c r="K34" i="8"/>
  <c r="T15" i="8"/>
  <c r="T21" i="8"/>
  <c r="T28" i="8"/>
  <c r="Q10" i="8"/>
  <c r="K17" i="8"/>
  <c r="K19" i="8"/>
  <c r="N36" i="8"/>
  <c r="T9" i="8"/>
  <c r="Q6" i="8"/>
  <c r="K15" i="8"/>
  <c r="N21" i="8"/>
  <c r="N23" i="8"/>
  <c r="K30" i="8"/>
  <c r="K32" i="8"/>
  <c r="N34" i="8"/>
  <c r="T16" i="8"/>
  <c r="T22" i="8"/>
  <c r="T34" i="8"/>
  <c r="K11" i="8"/>
  <c r="K13" i="8"/>
  <c r="N17" i="8"/>
  <c r="N19" i="8"/>
  <c r="Q25" i="8"/>
  <c r="T10" i="8"/>
  <c r="V9" i="1"/>
  <c r="N15" i="8"/>
  <c r="Q23" i="8"/>
  <c r="K28" i="8"/>
  <c r="N32" i="8"/>
  <c r="Q36" i="8"/>
  <c r="T17" i="8"/>
  <c r="T35" i="8"/>
  <c r="K7" i="8"/>
  <c r="K9" i="8"/>
  <c r="N11" i="8"/>
  <c r="P15" i="8"/>
  <c r="K26" i="8"/>
  <c r="N30" i="8"/>
  <c r="T11" i="8"/>
  <c r="T30" i="8"/>
  <c r="N13" i="8"/>
  <c r="K24" i="8"/>
  <c r="N28" i="8"/>
  <c r="P30" i="8"/>
  <c r="K37" i="8"/>
  <c r="T24" i="8"/>
  <c r="T36" i="8"/>
  <c r="N24" i="8"/>
  <c r="N37" i="8"/>
  <c r="V31" i="1"/>
  <c r="V17" i="1"/>
  <c r="V3" i="1"/>
  <c r="V23" i="1"/>
  <c r="V16" i="1"/>
  <c r="V2" i="1"/>
  <c r="V12" i="1"/>
  <c r="N21" i="1"/>
  <c r="D28" i="10" s="1"/>
  <c r="N31" i="1"/>
  <c r="D38" i="10" s="1"/>
  <c r="V14" i="1"/>
  <c r="V19" i="1"/>
  <c r="V13" i="1"/>
  <c r="V15" i="1"/>
  <c r="V21" i="1"/>
  <c r="V29" i="1"/>
  <c r="V28" i="1"/>
  <c r="V27" i="1"/>
  <c r="V25" i="1"/>
  <c r="V24" i="1"/>
  <c r="V22" i="1"/>
  <c r="V18" i="1"/>
  <c r="V8" i="1"/>
  <c r="AB6" i="1"/>
  <c r="V7" i="1"/>
  <c r="V5" i="1"/>
  <c r="V4" i="1"/>
  <c r="N25" i="1"/>
  <c r="D32" i="10" s="1"/>
  <c r="N16" i="1"/>
  <c r="D23" i="10" s="1"/>
  <c r="N29" i="1"/>
  <c r="D36" i="10" s="1"/>
  <c r="AB14" i="1"/>
  <c r="AB11" i="1"/>
  <c r="AB10" i="1"/>
  <c r="AB15" i="1"/>
  <c r="AB12" i="1"/>
  <c r="N20" i="1"/>
  <c r="D27" i="10" s="1"/>
  <c r="N19" i="1"/>
  <c r="D26" i="10" s="1"/>
  <c r="N26" i="1"/>
  <c r="D33" i="10" s="1"/>
  <c r="N27" i="1"/>
  <c r="D34" i="10" s="1"/>
  <c r="N15" i="1"/>
  <c r="D22" i="10" s="1"/>
  <c r="N6" i="1"/>
  <c r="D13" i="10" s="1"/>
  <c r="N9" i="1"/>
  <c r="D16" i="10" s="1"/>
  <c r="N32" i="1"/>
  <c r="D39" i="10" s="1"/>
  <c r="N12" i="1"/>
  <c r="D19" i="10" s="1"/>
  <c r="N2" i="1"/>
  <c r="N5" i="1"/>
  <c r="D12" i="10" s="1"/>
  <c r="N13" i="1"/>
  <c r="D20" i="10" s="1"/>
  <c r="N14" i="1"/>
  <c r="D21" i="10" s="1"/>
  <c r="N23" i="1"/>
  <c r="D30" i="10" s="1"/>
  <c r="N10" i="1"/>
  <c r="D17" i="10" s="1"/>
  <c r="N28" i="1"/>
  <c r="D35" i="10" s="1"/>
  <c r="N18" i="1"/>
  <c r="D25" i="10" s="1"/>
  <c r="N24" i="1"/>
  <c r="D31" i="10" s="1"/>
  <c r="N33" i="1"/>
  <c r="D40" i="10" s="1"/>
  <c r="N8" i="1"/>
  <c r="D15" i="10" s="1"/>
  <c r="N30" i="1"/>
  <c r="D37" i="10" s="1"/>
  <c r="N4" i="1"/>
  <c r="D11" i="10" s="1"/>
  <c r="N17" i="1"/>
  <c r="D24" i="10" s="1"/>
  <c r="N22" i="1"/>
  <c r="D29" i="10" s="1"/>
  <c r="N11" i="1"/>
  <c r="D18" i="10" s="1"/>
  <c r="N7" i="1"/>
  <c r="D14" i="10" s="1"/>
  <c r="N3" i="1"/>
  <c r="D10" i="10" s="1"/>
  <c r="H4" i="10" l="1"/>
  <c r="H7" i="10"/>
  <c r="F7" i="10"/>
  <c r="D7" i="10"/>
  <c r="M26" i="10"/>
  <c r="M16" i="10"/>
  <c r="M30" i="10"/>
  <c r="K11" i="10"/>
  <c r="L11" i="10" s="1"/>
  <c r="K25" i="10"/>
  <c r="L25" i="10" s="1"/>
  <c r="K39" i="10"/>
  <c r="L39" i="10" s="1"/>
  <c r="K12" i="10"/>
  <c r="L12" i="10" s="1"/>
  <c r="K26" i="10"/>
  <c r="L26" i="10" s="1"/>
  <c r="K40" i="10"/>
  <c r="L40" i="10" s="1"/>
  <c r="K16" i="10"/>
  <c r="L16" i="10" s="1"/>
  <c r="K18" i="10"/>
  <c r="L18" i="10" s="1"/>
  <c r="K19" i="10"/>
  <c r="L19" i="10" s="1"/>
  <c r="K20" i="10"/>
  <c r="L20" i="10" s="1"/>
  <c r="K36" i="10"/>
  <c r="L36" i="10" s="1"/>
  <c r="K37" i="10"/>
  <c r="L37" i="10" s="1"/>
  <c r="K13" i="10"/>
  <c r="L13" i="10" s="1"/>
  <c r="K27" i="10"/>
  <c r="L27" i="10" s="1"/>
  <c r="K9" i="10"/>
  <c r="L9" i="10" s="1"/>
  <c r="K14" i="10"/>
  <c r="L14" i="10" s="1"/>
  <c r="K28" i="10"/>
  <c r="L28" i="10" s="1"/>
  <c r="K15" i="10"/>
  <c r="L15" i="10" s="1"/>
  <c r="K29" i="10"/>
  <c r="L29" i="10" s="1"/>
  <c r="K30" i="10"/>
  <c r="L30" i="10" s="1"/>
  <c r="K17" i="10"/>
  <c r="L17" i="10" s="1"/>
  <c r="K32" i="10"/>
  <c r="L32" i="10" s="1"/>
  <c r="K33" i="10"/>
  <c r="L33" i="10" s="1"/>
  <c r="K34" i="10"/>
  <c r="L34" i="10" s="1"/>
  <c r="K21" i="10"/>
  <c r="L21" i="10" s="1"/>
  <c r="K23" i="10"/>
  <c r="L23" i="10" s="1"/>
  <c r="K10" i="10"/>
  <c r="L10" i="10" s="1"/>
  <c r="K38" i="10"/>
  <c r="L38" i="10" s="1"/>
  <c r="K31" i="10"/>
  <c r="L31" i="10" s="1"/>
  <c r="K35" i="10"/>
  <c r="L35" i="10" s="1"/>
  <c r="K22" i="10"/>
  <c r="L22" i="10" s="1"/>
  <c r="K24" i="10"/>
  <c r="L24" i="10" s="1"/>
  <c r="R2" i="1"/>
  <c r="U2" i="1" s="1"/>
  <c r="M39" i="10"/>
  <c r="R16" i="1"/>
  <c r="U16" i="1" s="1"/>
  <c r="B15" i="8"/>
  <c r="R5" i="1"/>
  <c r="U5" i="1" s="1"/>
  <c r="R6" i="1"/>
  <c r="U6" i="1" s="1"/>
  <c r="R20" i="1"/>
  <c r="U20" i="1" s="1"/>
  <c r="R9" i="1"/>
  <c r="U9" i="1" s="1"/>
  <c r="R4" i="1"/>
  <c r="U4" i="1" s="1"/>
  <c r="M17" i="10"/>
  <c r="R14" i="1"/>
  <c r="U14" i="1" s="1"/>
  <c r="R25" i="1"/>
  <c r="U25" i="1" s="1"/>
  <c r="B17" i="8"/>
  <c r="G7" i="8" s="1"/>
  <c r="M31" i="10"/>
  <c r="R19" i="1"/>
  <c r="U19" i="1" s="1"/>
  <c r="F4" i="10"/>
  <c r="R12" i="1"/>
  <c r="U12" i="1" s="1"/>
  <c r="R22" i="1"/>
  <c r="U22" i="1" s="1"/>
  <c r="M27" i="10"/>
  <c r="R13" i="1"/>
  <c r="U13" i="1" s="1"/>
  <c r="R3" i="1"/>
  <c r="U3" i="1" s="1"/>
  <c r="D9" i="10"/>
  <c r="B7" i="9"/>
  <c r="B10" i="9"/>
  <c r="B9" i="9"/>
  <c r="B8" i="9"/>
  <c r="B11" i="9"/>
  <c r="M14" i="10"/>
  <c r="D4" i="10"/>
  <c r="R32" i="1"/>
  <c r="U32" i="1" s="1"/>
  <c r="R7" i="1"/>
  <c r="U7" i="1" s="1"/>
  <c r="R26" i="1"/>
  <c r="U26" i="1" s="1"/>
  <c r="R11" i="1"/>
  <c r="U11" i="1" s="1"/>
  <c r="R15" i="1"/>
  <c r="U15" i="1" s="1"/>
  <c r="R24" i="1"/>
  <c r="U24" i="1" s="1"/>
  <c r="R21" i="1"/>
  <c r="U21" i="1" s="1"/>
  <c r="R31" i="1"/>
  <c r="U31" i="1" s="1"/>
  <c r="R28" i="1"/>
  <c r="U28" i="1" s="1"/>
  <c r="M40" i="10"/>
  <c r="R33" i="1"/>
  <c r="U33" i="1" s="1"/>
  <c r="B18" i="8"/>
  <c r="H7" i="8" s="1"/>
  <c r="B14" i="8"/>
  <c r="R10" i="1"/>
  <c r="U10" i="1" s="1"/>
  <c r="R30" i="1"/>
  <c r="U30" i="1" s="1"/>
  <c r="R17" i="1"/>
  <c r="U17" i="1" s="1"/>
  <c r="R27" i="1"/>
  <c r="U27" i="1" s="1"/>
  <c r="B16" i="8"/>
  <c r="F7" i="8" s="1"/>
  <c r="M11" i="10"/>
  <c r="R8" i="1"/>
  <c r="U8" i="1" s="1"/>
  <c r="R29" i="1"/>
  <c r="U29" i="1" s="1"/>
  <c r="R23" i="1"/>
  <c r="U23" i="1" s="1"/>
  <c r="R18" i="1"/>
  <c r="U18" i="1" s="1"/>
  <c r="M32" i="10"/>
  <c r="M28" i="10"/>
  <c r="M19" i="10"/>
  <c r="M9" i="10"/>
  <c r="M22" i="10"/>
  <c r="M15" i="10"/>
  <c r="M37" i="10"/>
  <c r="M36" i="10"/>
  <c r="M29" i="10"/>
  <c r="M23" i="10"/>
  <c r="M35" i="10"/>
  <c r="M25" i="10"/>
  <c r="B38" i="8"/>
  <c r="M10" i="8"/>
  <c r="C21" i="9"/>
  <c r="W10" i="8" s="1"/>
  <c r="M11" i="8"/>
  <c r="C22" i="9"/>
  <c r="W11" i="8" s="1"/>
  <c r="M17" i="8"/>
  <c r="C28" i="9"/>
  <c r="W17" i="8" s="1"/>
  <c r="M15" i="8"/>
  <c r="C26" i="9"/>
  <c r="W15" i="8" s="1"/>
  <c r="M9" i="8"/>
  <c r="C20" i="9"/>
  <c r="W9" i="8" s="1"/>
  <c r="M36" i="8"/>
  <c r="C47" i="9"/>
  <c r="W36" i="8" s="1"/>
  <c r="M31" i="8"/>
  <c r="C42" i="9"/>
  <c r="W31" i="8" s="1"/>
  <c r="M30" i="8"/>
  <c r="C41" i="9"/>
  <c r="W30" i="8" s="1"/>
  <c r="M26" i="8"/>
  <c r="C37" i="9"/>
  <c r="W26" i="8" s="1"/>
  <c r="C17" i="9"/>
  <c r="W6" i="8" s="1"/>
  <c r="M21" i="8"/>
  <c r="C32" i="9"/>
  <c r="W21" i="8" s="1"/>
  <c r="M16" i="8"/>
  <c r="C27" i="9"/>
  <c r="W16" i="8" s="1"/>
  <c r="M33" i="8"/>
  <c r="C44" i="9"/>
  <c r="W33" i="8" s="1"/>
  <c r="M20" i="8"/>
  <c r="C31" i="9"/>
  <c r="W20" i="8" s="1"/>
  <c r="M29" i="8"/>
  <c r="C40" i="9"/>
  <c r="W29" i="8" s="1"/>
  <c r="R21" i="8"/>
  <c r="M19" i="8"/>
  <c r="C30" i="9"/>
  <c r="W19" i="8" s="1"/>
  <c r="M28" i="8"/>
  <c r="C39" i="9"/>
  <c r="W28" i="8" s="1"/>
  <c r="M22" i="8"/>
  <c r="C33" i="9"/>
  <c r="W22" i="8" s="1"/>
  <c r="M35" i="8"/>
  <c r="C46" i="9"/>
  <c r="W35" i="8" s="1"/>
  <c r="M32" i="8"/>
  <c r="C43" i="9"/>
  <c r="W32" i="8" s="1"/>
  <c r="M25" i="8"/>
  <c r="C36" i="9"/>
  <c r="W25" i="8" s="1"/>
  <c r="M14" i="8"/>
  <c r="C25" i="9"/>
  <c r="W14" i="8" s="1"/>
  <c r="M24" i="8"/>
  <c r="C35" i="9"/>
  <c r="W24" i="8" s="1"/>
  <c r="M27" i="8"/>
  <c r="C38" i="9"/>
  <c r="W27" i="8" s="1"/>
  <c r="M8" i="8"/>
  <c r="C19" i="9"/>
  <c r="W8" i="8" s="1"/>
  <c r="M12" i="8"/>
  <c r="C23" i="9"/>
  <c r="W12" i="8" s="1"/>
  <c r="M23" i="8"/>
  <c r="C34" i="9"/>
  <c r="W23" i="8" s="1"/>
  <c r="M7" i="8"/>
  <c r="C18" i="9"/>
  <c r="W7" i="8" s="1"/>
  <c r="M18" i="8"/>
  <c r="C29" i="9"/>
  <c r="W18" i="8" s="1"/>
  <c r="M34" i="8"/>
  <c r="C45" i="9"/>
  <c r="W34" i="8" s="1"/>
  <c r="M13" i="8"/>
  <c r="C24" i="9"/>
  <c r="W13" i="8" s="1"/>
  <c r="M37" i="8"/>
  <c r="C48" i="9"/>
  <c r="W37" i="8" s="1"/>
  <c r="U30" i="8"/>
  <c r="B11" i="8"/>
  <c r="L22" i="8"/>
  <c r="L13" i="8"/>
  <c r="L30" i="8"/>
  <c r="L27" i="8"/>
  <c r="L8" i="8"/>
  <c r="L6" i="8"/>
  <c r="L16" i="8"/>
  <c r="U23" i="8"/>
  <c r="R7" i="8"/>
  <c r="L32" i="8"/>
  <c r="R11" i="8"/>
  <c r="L36" i="8"/>
  <c r="L25" i="8"/>
  <c r="R17" i="8"/>
  <c r="R34" i="8"/>
  <c r="R6" i="8"/>
  <c r="R12" i="8"/>
  <c r="R31" i="8"/>
  <c r="R20" i="8"/>
  <c r="U17" i="8"/>
  <c r="U13" i="8"/>
  <c r="U31" i="8"/>
  <c r="U18" i="8"/>
  <c r="U28" i="8"/>
  <c r="U33" i="8"/>
  <c r="U14" i="8"/>
  <c r="U32" i="8"/>
  <c r="U19" i="8"/>
  <c r="U6" i="8"/>
  <c r="U8" i="8"/>
  <c r="R36" i="8"/>
  <c r="R22" i="8"/>
  <c r="R27" i="8"/>
  <c r="L31" i="8"/>
  <c r="R23" i="8"/>
  <c r="U36" i="8"/>
  <c r="U11" i="8"/>
  <c r="U21" i="8"/>
  <c r="R37" i="8"/>
  <c r="L35" i="8"/>
  <c r="L29" i="8"/>
  <c r="U15" i="8"/>
  <c r="L12" i="8"/>
  <c r="R26" i="8"/>
  <c r="R35" i="8"/>
  <c r="R28" i="8"/>
  <c r="U24" i="8"/>
  <c r="U9" i="8"/>
  <c r="L7" i="8"/>
  <c r="L11" i="8"/>
  <c r="R13" i="8"/>
  <c r="R25" i="8"/>
  <c r="R14" i="8"/>
  <c r="L34" i="8"/>
  <c r="R18" i="8"/>
  <c r="U26" i="8"/>
  <c r="L15" i="8"/>
  <c r="R33" i="8"/>
  <c r="U37" i="8"/>
  <c r="U34" i="8"/>
  <c r="U25" i="8"/>
  <c r="U22" i="8"/>
  <c r="R16" i="8"/>
  <c r="R10" i="8"/>
  <c r="U29" i="8"/>
  <c r="U16" i="8"/>
  <c r="L33" i="8"/>
  <c r="L28" i="8"/>
  <c r="R8" i="8"/>
  <c r="R24" i="8"/>
  <c r="L19" i="8"/>
  <c r="L14" i="8"/>
  <c r="L17" i="8"/>
  <c r="L20" i="8"/>
  <c r="U27" i="8"/>
  <c r="L37" i="8"/>
  <c r="R32" i="8"/>
  <c r="R9" i="8"/>
  <c r="R29" i="8"/>
  <c r="R15" i="8"/>
  <c r="M6" i="8"/>
  <c r="U12" i="8"/>
  <c r="U10" i="8"/>
  <c r="U20" i="8"/>
  <c r="L9" i="8"/>
  <c r="L23" i="8"/>
  <c r="L26" i="8"/>
  <c r="L24" i="8"/>
  <c r="R30" i="8"/>
  <c r="U35" i="8"/>
  <c r="U7" i="8"/>
  <c r="L18" i="8"/>
  <c r="R19" i="8"/>
  <c r="L21" i="8"/>
  <c r="L10" i="8"/>
  <c r="B29" i="8"/>
  <c r="AB13" i="1"/>
  <c r="N9" i="10" l="1"/>
  <c r="O9" i="10" s="1"/>
  <c r="N18" i="10"/>
  <c r="O18" i="10" s="1"/>
  <c r="N40" i="10"/>
  <c r="O40" i="10" s="1"/>
  <c r="N12" i="10"/>
  <c r="O12" i="10" s="1"/>
  <c r="N38" i="10"/>
  <c r="O38" i="10" s="1"/>
  <c r="N24" i="10"/>
  <c r="O24" i="10" s="1"/>
  <c r="N19" i="10"/>
  <c r="O19" i="10" s="1"/>
  <c r="N13" i="10"/>
  <c r="O13" i="10" s="1"/>
  <c r="N17" i="10"/>
  <c r="O17" i="10" s="1"/>
  <c r="N34" i="10"/>
  <c r="O34" i="10" s="1"/>
  <c r="N21" i="10"/>
  <c r="O21" i="10" s="1"/>
  <c r="N28" i="10"/>
  <c r="O28" i="10" s="1"/>
  <c r="N31" i="10"/>
  <c r="O31" i="10" s="1"/>
  <c r="N35" i="10"/>
  <c r="O35" i="10" s="1"/>
  <c r="N15" i="10"/>
  <c r="O15" i="10" s="1"/>
  <c r="N39" i="10"/>
  <c r="O39" i="10" s="1"/>
  <c r="N22" i="10"/>
  <c r="O22" i="10" s="1"/>
  <c r="N29" i="10"/>
  <c r="O29" i="10" s="1"/>
  <c r="N16" i="10"/>
  <c r="O16" i="10" s="1"/>
  <c r="N30" i="10"/>
  <c r="O30" i="10" s="1"/>
  <c r="N36" i="10"/>
  <c r="O36" i="10" s="1"/>
  <c r="N33" i="10"/>
  <c r="O33" i="10" s="1"/>
  <c r="N23" i="10"/>
  <c r="O23" i="10" s="1"/>
  <c r="N20" i="10"/>
  <c r="O20" i="10" s="1"/>
  <c r="N32" i="10"/>
  <c r="O32" i="10" s="1"/>
  <c r="N26" i="10"/>
  <c r="O26" i="10" s="1"/>
  <c r="N27" i="10"/>
  <c r="O27" i="10" s="1"/>
  <c r="N14" i="10"/>
  <c r="O14" i="10" s="1"/>
  <c r="N37" i="10"/>
  <c r="O37" i="10" s="1"/>
  <c r="N25" i="10"/>
  <c r="O25" i="10" s="1"/>
  <c r="N11" i="10"/>
  <c r="O11" i="10" s="1"/>
  <c r="N10" i="10"/>
  <c r="O10" i="10" s="1"/>
  <c r="I9" i="10"/>
  <c r="J9" i="10" s="1"/>
  <c r="I23" i="10"/>
  <c r="J23" i="10" s="1"/>
  <c r="I37" i="10"/>
  <c r="J37" i="10" s="1"/>
  <c r="I14" i="10"/>
  <c r="J14" i="10" s="1"/>
  <c r="I34" i="10"/>
  <c r="J34" i="10" s="1"/>
  <c r="I21" i="10"/>
  <c r="J21" i="10" s="1"/>
  <c r="I10" i="10"/>
  <c r="J10" i="10" s="1"/>
  <c r="I24" i="10"/>
  <c r="J24" i="10" s="1"/>
  <c r="I38" i="10"/>
  <c r="J38" i="10" s="1"/>
  <c r="I40" i="10"/>
  <c r="J40" i="10" s="1"/>
  <c r="I27" i="10"/>
  <c r="J27" i="10" s="1"/>
  <c r="I15" i="10"/>
  <c r="J15" i="10" s="1"/>
  <c r="I20" i="10"/>
  <c r="J20" i="10" s="1"/>
  <c r="I22" i="10"/>
  <c r="J22" i="10" s="1"/>
  <c r="I11" i="10"/>
  <c r="J11" i="10" s="1"/>
  <c r="I25" i="10"/>
  <c r="J25" i="10" s="1"/>
  <c r="I39" i="10"/>
  <c r="J39" i="10" s="1"/>
  <c r="I12" i="10"/>
  <c r="J12" i="10" s="1"/>
  <c r="I13" i="10"/>
  <c r="J13" i="10" s="1"/>
  <c r="I28" i="10"/>
  <c r="J28" i="10" s="1"/>
  <c r="I29" i="10"/>
  <c r="J29" i="10" s="1"/>
  <c r="I16" i="10"/>
  <c r="J16" i="10" s="1"/>
  <c r="I26" i="10"/>
  <c r="J26" i="10" s="1"/>
  <c r="I30" i="10"/>
  <c r="J30" i="10" s="1"/>
  <c r="I35" i="10"/>
  <c r="J35" i="10" s="1"/>
  <c r="I36" i="10"/>
  <c r="J36" i="10" s="1"/>
  <c r="I17" i="10"/>
  <c r="J17" i="10" s="1"/>
  <c r="I31" i="10"/>
  <c r="J31" i="10" s="1"/>
  <c r="I18" i="10"/>
  <c r="J18" i="10" s="1"/>
  <c r="I32" i="10"/>
  <c r="J32" i="10" s="1"/>
  <c r="I19" i="10"/>
  <c r="J19" i="10" s="1"/>
  <c r="I33" i="10"/>
  <c r="J33" i="10" s="1"/>
  <c r="Q18" i="10"/>
  <c r="U18" i="10" s="1"/>
  <c r="R37" i="10"/>
  <c r="V37" i="10" s="1"/>
  <c r="Q38" i="10"/>
  <c r="Q17" i="10"/>
  <c r="Q23" i="10"/>
  <c r="Q24" i="10"/>
  <c r="R28" i="10"/>
  <c r="Q34" i="10"/>
  <c r="Q28" i="10"/>
  <c r="Q33" i="10"/>
  <c r="Q21" i="10"/>
  <c r="Q30" i="10"/>
  <c r="Q31" i="10"/>
  <c r="Q32" i="10"/>
  <c r="Q25" i="10"/>
  <c r="Q10" i="10"/>
  <c r="Q15" i="10"/>
  <c r="Q37" i="10"/>
  <c r="R9" i="10"/>
  <c r="R30" i="10"/>
  <c r="R13" i="10"/>
  <c r="R31" i="10"/>
  <c r="R34" i="10"/>
  <c r="R18" i="10"/>
  <c r="R17" i="10"/>
  <c r="R10" i="10"/>
  <c r="Q40" i="10"/>
  <c r="Q26" i="10"/>
  <c r="Q9" i="10"/>
  <c r="R12" i="10"/>
  <c r="Q29" i="10"/>
  <c r="R24" i="10"/>
  <c r="R15" i="10"/>
  <c r="R32" i="10"/>
  <c r="R27" i="10"/>
  <c r="R25" i="10"/>
  <c r="Q20" i="10"/>
  <c r="R36" i="10"/>
  <c r="R19" i="10"/>
  <c r="R20" i="10"/>
  <c r="Q35" i="10"/>
  <c r="Q11" i="10"/>
  <c r="Q14" i="10"/>
  <c r="R21" i="10"/>
  <c r="Q19" i="10"/>
  <c r="R26" i="10"/>
  <c r="R35" i="10"/>
  <c r="R16" i="10"/>
  <c r="Q16" i="10"/>
  <c r="R22" i="10"/>
  <c r="Q39" i="10"/>
  <c r="R39" i="10"/>
  <c r="Q22" i="10"/>
  <c r="R33" i="10"/>
  <c r="R23" i="10"/>
  <c r="Q36" i="10"/>
  <c r="Q12" i="10"/>
  <c r="Q27" i="10"/>
  <c r="R11" i="10"/>
  <c r="R14" i="10"/>
  <c r="R29" i="10"/>
  <c r="R38" i="10"/>
  <c r="Q13" i="10"/>
  <c r="R40" i="10"/>
  <c r="O32" i="8"/>
  <c r="O29" i="8"/>
  <c r="O27" i="8"/>
  <c r="O35" i="8"/>
  <c r="O23" i="8"/>
  <c r="O37" i="8"/>
  <c r="O28" i="8"/>
  <c r="O18" i="8"/>
  <c r="O12" i="8"/>
  <c r="D37" i="9"/>
  <c r="D34" i="9"/>
  <c r="D26" i="9"/>
  <c r="D46" i="9"/>
  <c r="D31" i="9"/>
  <c r="D44" i="9"/>
  <c r="D19" i="9"/>
  <c r="D41" i="9"/>
  <c r="D47" i="9"/>
  <c r="X36" i="8" s="1"/>
  <c r="D29" i="9"/>
  <c r="D38" i="9"/>
  <c r="D32" i="9"/>
  <c r="D35" i="9"/>
  <c r="D23" i="9"/>
  <c r="D17" i="9"/>
  <c r="X6" i="8" s="1"/>
  <c r="D20" i="9"/>
  <c r="D45" i="9"/>
  <c r="D48" i="9"/>
  <c r="D43" i="9"/>
  <c r="D21" i="9"/>
  <c r="D40" i="9"/>
  <c r="D30" i="9"/>
  <c r="B13" i="9"/>
  <c r="D27" i="9"/>
  <c r="D24" i="9"/>
  <c r="D33" i="9"/>
  <c r="D18" i="9"/>
  <c r="D36" i="9"/>
  <c r="D39" i="9"/>
  <c r="D28" i="9"/>
  <c r="D42" i="9"/>
  <c r="D22" i="9"/>
  <c r="D25" i="9"/>
  <c r="O7" i="8"/>
  <c r="O21" i="8"/>
  <c r="O26" i="8"/>
  <c r="O24" i="8"/>
  <c r="O19" i="8"/>
  <c r="O13" i="8"/>
  <c r="O20" i="8"/>
  <c r="O16" i="8"/>
  <c r="O31" i="8"/>
  <c r="O14" i="8"/>
  <c r="O11" i="8"/>
  <c r="O17" i="8"/>
  <c r="O36" i="8"/>
  <c r="O25" i="8"/>
  <c r="O8" i="8"/>
  <c r="O6" i="8"/>
  <c r="B20" i="8"/>
  <c r="O22" i="8"/>
  <c r="O10" i="8"/>
  <c r="O15" i="8"/>
  <c r="O9" i="8"/>
  <c r="O30" i="8"/>
  <c r="O33" i="8"/>
  <c r="O34" i="8"/>
  <c r="E47" i="9" l="1"/>
  <c r="S34" i="10"/>
  <c r="W34" i="10" s="1"/>
  <c r="S31" i="10"/>
  <c r="W31" i="10" s="1"/>
  <c r="S21" i="10"/>
  <c r="W21" i="10" s="1"/>
  <c r="S36" i="10"/>
  <c r="AA36" i="10" s="1"/>
  <c r="S16" i="10"/>
  <c r="W16" i="10" s="1"/>
  <c r="S32" i="10"/>
  <c r="W32" i="10" s="1"/>
  <c r="S24" i="10"/>
  <c r="W24" i="10" s="1"/>
  <c r="S12" i="10"/>
  <c r="AA12" i="10" s="1"/>
  <c r="S39" i="10"/>
  <c r="AA39" i="10" s="1"/>
  <c r="S27" i="10"/>
  <c r="W27" i="10" s="1"/>
  <c r="S19" i="10"/>
  <c r="W19" i="10" s="1"/>
  <c r="S9" i="10"/>
  <c r="S14" i="10"/>
  <c r="W14" i="10" s="1"/>
  <c r="S18" i="10"/>
  <c r="S26" i="10"/>
  <c r="AA26" i="10" s="1"/>
  <c r="S10" i="10"/>
  <c r="W10" i="10" s="1"/>
  <c r="S33" i="10"/>
  <c r="S38" i="10"/>
  <c r="AA38" i="10" s="1"/>
  <c r="S28" i="10"/>
  <c r="AA28" i="10" s="1"/>
  <c r="S15" i="10"/>
  <c r="AA15" i="10" s="1"/>
  <c r="S29" i="10"/>
  <c r="S30" i="10"/>
  <c r="S17" i="10"/>
  <c r="W17" i="10" s="1"/>
  <c r="S13" i="10"/>
  <c r="W13" i="10" s="1"/>
  <c r="S23" i="10"/>
  <c r="W23" i="10" s="1"/>
  <c r="S22" i="10"/>
  <c r="W22" i="10" s="1"/>
  <c r="S37" i="10"/>
  <c r="AA37" i="10" s="1"/>
  <c r="S11" i="10"/>
  <c r="AA11" i="10" s="1"/>
  <c r="S20" i="10"/>
  <c r="W20" i="10" s="1"/>
  <c r="S25" i="10"/>
  <c r="AA25" i="10" s="1"/>
  <c r="S35" i="10"/>
  <c r="S40" i="10"/>
  <c r="AA40" i="10" s="1"/>
  <c r="W11" i="10"/>
  <c r="Z37" i="10"/>
  <c r="P13" i="10"/>
  <c r="X13" i="10" s="1"/>
  <c r="Y18" i="10"/>
  <c r="P22" i="10"/>
  <c r="T22" i="10" s="1"/>
  <c r="Z40" i="10"/>
  <c r="V40" i="10"/>
  <c r="V17" i="10"/>
  <c r="Z17" i="10"/>
  <c r="E35" i="9"/>
  <c r="X24" i="8"/>
  <c r="U13" i="10"/>
  <c r="Y13" i="10"/>
  <c r="P34" i="10"/>
  <c r="V18" i="10"/>
  <c r="Z18" i="10"/>
  <c r="E32" i="9"/>
  <c r="X21" i="8"/>
  <c r="P11" i="10"/>
  <c r="V34" i="10"/>
  <c r="Z34" i="10"/>
  <c r="E24" i="9"/>
  <c r="X13" i="8"/>
  <c r="Z31" i="10"/>
  <c r="V31" i="10"/>
  <c r="E29" i="9"/>
  <c r="X18" i="8"/>
  <c r="P20" i="10"/>
  <c r="V13" i="10"/>
  <c r="Z13" i="10"/>
  <c r="P15" i="10"/>
  <c r="Z30" i="10"/>
  <c r="V30" i="10"/>
  <c r="E30" i="9"/>
  <c r="X19" i="8"/>
  <c r="P28" i="10"/>
  <c r="Z9" i="10"/>
  <c r="V9" i="10"/>
  <c r="U9" i="10"/>
  <c r="Y9" i="10"/>
  <c r="E31" i="9"/>
  <c r="X20" i="8"/>
  <c r="Y36" i="10"/>
  <c r="U36" i="10"/>
  <c r="P32" i="10"/>
  <c r="V36" i="10"/>
  <c r="Z36" i="10"/>
  <c r="Y10" i="10"/>
  <c r="U10" i="10"/>
  <c r="U38" i="10"/>
  <c r="Y38" i="10"/>
  <c r="E28" i="9"/>
  <c r="X17" i="8"/>
  <c r="E20" i="9"/>
  <c r="X9" i="8"/>
  <c r="E34" i="9"/>
  <c r="X23" i="8"/>
  <c r="Z23" i="10"/>
  <c r="V23" i="10"/>
  <c r="P39" i="10"/>
  <c r="Z16" i="10"/>
  <c r="V16" i="10"/>
  <c r="U20" i="10"/>
  <c r="Y20" i="10"/>
  <c r="U40" i="10"/>
  <c r="Y40" i="10"/>
  <c r="U25" i="10"/>
  <c r="Y25" i="10"/>
  <c r="E36" i="9"/>
  <c r="X25" i="8"/>
  <c r="E23" i="9"/>
  <c r="X12" i="8"/>
  <c r="P37" i="10"/>
  <c r="P12" i="10"/>
  <c r="Z27" i="10"/>
  <c r="V27" i="10"/>
  <c r="P29" i="10"/>
  <c r="E18" i="9"/>
  <c r="X7" i="8"/>
  <c r="P16" i="10"/>
  <c r="V35" i="10"/>
  <c r="Z35" i="10"/>
  <c r="V32" i="10"/>
  <c r="Z32" i="10"/>
  <c r="Y31" i="10"/>
  <c r="U31" i="10"/>
  <c r="E33" i="9"/>
  <c r="X22" i="8"/>
  <c r="V38" i="10"/>
  <c r="Z38" i="10"/>
  <c r="P9" i="10"/>
  <c r="Z26" i="10"/>
  <c r="V26" i="10"/>
  <c r="V15" i="10"/>
  <c r="Z15" i="10"/>
  <c r="Y30" i="10"/>
  <c r="U30" i="10"/>
  <c r="E38" i="9"/>
  <c r="X27" i="8"/>
  <c r="V29" i="10"/>
  <c r="Z29" i="10"/>
  <c r="P14" i="10"/>
  <c r="P25" i="10"/>
  <c r="P17" i="10"/>
  <c r="P24" i="10"/>
  <c r="Y21" i="10"/>
  <c r="U21" i="10"/>
  <c r="E27" i="9"/>
  <c r="X16" i="8"/>
  <c r="V14" i="10"/>
  <c r="Z14" i="10"/>
  <c r="P36" i="10"/>
  <c r="U19" i="10"/>
  <c r="Y19" i="10"/>
  <c r="V24" i="10"/>
  <c r="Z24" i="10"/>
  <c r="Y33" i="10"/>
  <c r="U33" i="10"/>
  <c r="Z11" i="10"/>
  <c r="V11" i="10"/>
  <c r="P27" i="10"/>
  <c r="V21" i="10"/>
  <c r="Z21" i="10"/>
  <c r="Y29" i="10"/>
  <c r="U29" i="10"/>
  <c r="U28" i="10"/>
  <c r="Y28" i="10"/>
  <c r="E41" i="9"/>
  <c r="X30" i="8"/>
  <c r="Y27" i="10"/>
  <c r="U27" i="10"/>
  <c r="U22" i="10"/>
  <c r="Y22" i="10"/>
  <c r="U14" i="10"/>
  <c r="Y14" i="10"/>
  <c r="P19" i="10"/>
  <c r="Y34" i="10"/>
  <c r="U34" i="10"/>
  <c r="E40" i="9"/>
  <c r="X29" i="8"/>
  <c r="E19" i="9"/>
  <c r="X8" i="8"/>
  <c r="P31" i="10"/>
  <c r="P21" i="10"/>
  <c r="V39" i="10"/>
  <c r="Z39" i="10"/>
  <c r="U11" i="10"/>
  <c r="Y11" i="10"/>
  <c r="Z12" i="10"/>
  <c r="V12" i="10"/>
  <c r="Y37" i="10"/>
  <c r="U37" i="10"/>
  <c r="V28" i="10"/>
  <c r="Z28" i="10"/>
  <c r="E21" i="9"/>
  <c r="X10" i="8"/>
  <c r="E44" i="9"/>
  <c r="X33" i="8"/>
  <c r="P33" i="10"/>
  <c r="P23" i="10"/>
  <c r="U39" i="10"/>
  <c r="Y39" i="10"/>
  <c r="Y35" i="10"/>
  <c r="U35" i="10"/>
  <c r="Y24" i="10"/>
  <c r="U24" i="10"/>
  <c r="E25" i="9"/>
  <c r="X14" i="8"/>
  <c r="E43" i="9"/>
  <c r="X32" i="8"/>
  <c r="P38" i="10"/>
  <c r="P30" i="10"/>
  <c r="P10" i="10"/>
  <c r="V20" i="10"/>
  <c r="Z20" i="10"/>
  <c r="P40" i="10"/>
  <c r="Y23" i="10"/>
  <c r="U23" i="10"/>
  <c r="E22" i="9"/>
  <c r="X11" i="8"/>
  <c r="E48" i="9"/>
  <c r="X37" i="8"/>
  <c r="E46" i="9"/>
  <c r="X35" i="8"/>
  <c r="Y12" i="10"/>
  <c r="U12" i="10"/>
  <c r="P18" i="10"/>
  <c r="V22" i="10"/>
  <c r="Z22" i="10"/>
  <c r="V19" i="10"/>
  <c r="Z19" i="10"/>
  <c r="Y26" i="10"/>
  <c r="U26" i="10"/>
  <c r="U15" i="10"/>
  <c r="Y15" i="10"/>
  <c r="Y17" i="10"/>
  <c r="U17" i="10"/>
  <c r="E42" i="9"/>
  <c r="X31" i="8"/>
  <c r="E45" i="9"/>
  <c r="X34" i="8"/>
  <c r="E26" i="9"/>
  <c r="X15" i="8"/>
  <c r="U16" i="10"/>
  <c r="Y16" i="10"/>
  <c r="E39" i="9"/>
  <c r="X28" i="8"/>
  <c r="E17" i="9"/>
  <c r="E37" i="9"/>
  <c r="X26" i="8"/>
  <c r="Z33" i="10"/>
  <c r="V33" i="10"/>
  <c r="P35" i="10"/>
  <c r="P26" i="10"/>
  <c r="V25" i="10"/>
  <c r="Z25" i="10"/>
  <c r="V10" i="10"/>
  <c r="Z10" i="10"/>
  <c r="U32" i="10"/>
  <c r="Y32" i="10"/>
  <c r="AA14" i="10" l="1"/>
  <c r="W12" i="10"/>
  <c r="W36" i="10"/>
  <c r="AA31" i="10"/>
  <c r="AA34" i="10"/>
  <c r="AA16" i="10"/>
  <c r="W37" i="10"/>
  <c r="W25" i="10"/>
  <c r="AA27" i="10"/>
  <c r="AA32" i="10"/>
  <c r="W28" i="10"/>
  <c r="AA23" i="10"/>
  <c r="AA19" i="10"/>
  <c r="AA21" i="10"/>
  <c r="W39" i="10"/>
  <c r="AA24" i="10"/>
  <c r="AA22" i="10"/>
  <c r="AA13" i="10"/>
  <c r="AC13" i="10" s="1"/>
  <c r="AA29" i="10"/>
  <c r="W29" i="10"/>
  <c r="AA10" i="10"/>
  <c r="W15" i="10"/>
  <c r="W26" i="10"/>
  <c r="W18" i="10"/>
  <c r="AA18" i="10"/>
  <c r="AA33" i="10"/>
  <c r="W33" i="10"/>
  <c r="W40" i="10"/>
  <c r="W35" i="10"/>
  <c r="AA35" i="10"/>
  <c r="AA17" i="10"/>
  <c r="AA9" i="10"/>
  <c r="W9" i="10"/>
  <c r="AA30" i="10"/>
  <c r="W30" i="10"/>
  <c r="W38" i="10"/>
  <c r="AA20" i="10"/>
  <c r="T13" i="10"/>
  <c r="AB13" i="10" s="1"/>
  <c r="AB22" i="10"/>
  <c r="X22" i="10"/>
  <c r="X32" i="10"/>
  <c r="T32" i="10"/>
  <c r="AB32" i="10" s="1"/>
  <c r="T36" i="10"/>
  <c r="AB36" i="10" s="1"/>
  <c r="X36" i="10"/>
  <c r="AC36" i="10" s="1"/>
  <c r="AD36" i="10" s="1"/>
  <c r="U74" i="10" s="1"/>
  <c r="X20" i="10"/>
  <c r="T20" i="10"/>
  <c r="AB20" i="10" s="1"/>
  <c r="X19" i="10"/>
  <c r="T19" i="10"/>
  <c r="AB19" i="10" s="1"/>
  <c r="T16" i="10"/>
  <c r="AB16" i="10" s="1"/>
  <c r="X16" i="10"/>
  <c r="AC16" i="10" s="1"/>
  <c r="T27" i="10"/>
  <c r="AB27" i="10" s="1"/>
  <c r="X27" i="10"/>
  <c r="X40" i="10"/>
  <c r="AC40" i="10" s="1"/>
  <c r="T40" i="10"/>
  <c r="T24" i="10"/>
  <c r="AB24" i="10" s="1"/>
  <c r="X24" i="10"/>
  <c r="T29" i="10"/>
  <c r="X29" i="10"/>
  <c r="T17" i="10"/>
  <c r="AB17" i="10" s="1"/>
  <c r="X17" i="10"/>
  <c r="T18" i="10"/>
  <c r="X18" i="10"/>
  <c r="T25" i="10"/>
  <c r="X25" i="10"/>
  <c r="AC25" i="10" s="1"/>
  <c r="T30" i="10"/>
  <c r="X30" i="10"/>
  <c r="T31" i="10"/>
  <c r="AB31" i="10" s="1"/>
  <c r="X31" i="10"/>
  <c r="AC31" i="10" s="1"/>
  <c r="T37" i="10"/>
  <c r="X37" i="10"/>
  <c r="AC37" i="10" s="1"/>
  <c r="X11" i="10"/>
  <c r="AC11" i="10" s="1"/>
  <c r="T11" i="10"/>
  <c r="AB11" i="10" s="1"/>
  <c r="AD11" i="10" s="1"/>
  <c r="U49" i="10" s="1"/>
  <c r="T15" i="10"/>
  <c r="X15" i="10"/>
  <c r="AC15" i="10" s="1"/>
  <c r="T34" i="10"/>
  <c r="AB34" i="10" s="1"/>
  <c r="X34" i="10"/>
  <c r="AC34" i="10" s="1"/>
  <c r="T9" i="10"/>
  <c r="AB9" i="10" s="1"/>
  <c r="X9" i="10"/>
  <c r="T23" i="10"/>
  <c r="AB23" i="10" s="1"/>
  <c r="X23" i="10"/>
  <c r="X28" i="10"/>
  <c r="AC28" i="10" s="1"/>
  <c r="T28" i="10"/>
  <c r="X26" i="10"/>
  <c r="AC26" i="10" s="1"/>
  <c r="T26" i="10"/>
  <c r="T10" i="10"/>
  <c r="AB10" i="10" s="1"/>
  <c r="X10" i="10"/>
  <c r="T33" i="10"/>
  <c r="X33" i="10"/>
  <c r="X35" i="10"/>
  <c r="T35" i="10"/>
  <c r="T21" i="10"/>
  <c r="AB21" i="10" s="1"/>
  <c r="X21" i="10"/>
  <c r="X14" i="10"/>
  <c r="AC14" i="10" s="1"/>
  <c r="T14" i="10"/>
  <c r="AB14" i="10" s="1"/>
  <c r="T12" i="10"/>
  <c r="AB12" i="10" s="1"/>
  <c r="X12" i="10"/>
  <c r="AC12" i="10" s="1"/>
  <c r="X38" i="10"/>
  <c r="AC38" i="10" s="1"/>
  <c r="T38" i="10"/>
  <c r="X39" i="10"/>
  <c r="AC39" i="10" s="1"/>
  <c r="T39" i="10"/>
  <c r="AB39" i="10" s="1"/>
  <c r="AD39" i="10" s="1"/>
  <c r="U77" i="10" s="1"/>
  <c r="AC21" i="10" l="1"/>
  <c r="AD21" i="10" s="1"/>
  <c r="U59" i="10" s="1"/>
  <c r="AC19" i="10"/>
  <c r="AD19" i="10" s="1"/>
  <c r="U57" i="10" s="1"/>
  <c r="AB25" i="10"/>
  <c r="AD25" i="10" s="1"/>
  <c r="U63" i="10" s="1"/>
  <c r="AB37" i="10"/>
  <c r="AD37" i="10" s="1"/>
  <c r="U75" i="10" s="1"/>
  <c r="AC32" i="10"/>
  <c r="AB28" i="10"/>
  <c r="AD28" i="10" s="1"/>
  <c r="U66" i="10" s="1"/>
  <c r="AC27" i="10"/>
  <c r="AD27" i="10" s="1"/>
  <c r="U65" i="10" s="1"/>
  <c r="AC24" i="10"/>
  <c r="AC22" i="10"/>
  <c r="AD22" i="10" s="1"/>
  <c r="U60" i="10" s="1"/>
  <c r="AC23" i="10"/>
  <c r="AD23" i="10" s="1"/>
  <c r="U61" i="10" s="1"/>
  <c r="AC30" i="10"/>
  <c r="AB30" i="10"/>
  <c r="AC10" i="10"/>
  <c r="AD10" i="10" s="1"/>
  <c r="U48" i="10" s="1"/>
  <c r="AB15" i="10"/>
  <c r="AB29" i="10"/>
  <c r="AC20" i="10"/>
  <c r="AD20" i="10" s="1"/>
  <c r="U58" i="10" s="1"/>
  <c r="AC29" i="10"/>
  <c r="AB38" i="10"/>
  <c r="AD38" i="10" s="1"/>
  <c r="U76" i="10" s="1"/>
  <c r="AB26" i="10"/>
  <c r="AD26" i="10" s="1"/>
  <c r="U64" i="10" s="1"/>
  <c r="AD32" i="10"/>
  <c r="U70" i="10" s="1"/>
  <c r="AB40" i="10"/>
  <c r="AD40" i="10" s="1"/>
  <c r="U78" i="10" s="1"/>
  <c r="AC9" i="10"/>
  <c r="AD9" i="10" s="1"/>
  <c r="U47" i="10" s="1"/>
  <c r="AC18" i="10"/>
  <c r="AB35" i="10"/>
  <c r="AC35" i="10"/>
  <c r="AB18" i="10"/>
  <c r="AD18" i="10" s="1"/>
  <c r="U56" i="10" s="1"/>
  <c r="AC33" i="10"/>
  <c r="AD15" i="10"/>
  <c r="U53" i="10" s="1"/>
  <c r="AC17" i="10"/>
  <c r="AD17" i="10" s="1"/>
  <c r="U55" i="10" s="1"/>
  <c r="AB33" i="10"/>
  <c r="AD13" i="10"/>
  <c r="U51" i="10" s="1"/>
  <c r="AD12" i="10"/>
  <c r="U50" i="10" s="1"/>
  <c r="AD31" i="10"/>
  <c r="U69" i="10" s="1"/>
  <c r="AD14" i="10"/>
  <c r="U52" i="10" s="1"/>
  <c r="AD16" i="10"/>
  <c r="U54" i="10" s="1"/>
  <c r="AD24" i="10"/>
  <c r="U62" i="10" s="1"/>
  <c r="AD34" i="10"/>
  <c r="U72" i="10" s="1"/>
  <c r="AD29" i="10" l="1"/>
  <c r="U67" i="10" s="1"/>
  <c r="AD33" i="10"/>
  <c r="U71" i="10" s="1"/>
  <c r="AD30" i="10"/>
  <c r="U68" i="10" s="1"/>
  <c r="AD35" i="10"/>
  <c r="B22" i="2" s="1" a="1"/>
  <c r="B22" i="2" s="1"/>
  <c r="F41" i="2" a="1"/>
  <c r="F41" i="2" s="1"/>
  <c r="A25" i="2"/>
  <c r="D26" i="2" a="1"/>
  <c r="D26" i="2" s="1"/>
  <c r="A28" i="2"/>
  <c r="C29" i="2" a="1"/>
  <c r="C29" i="2" s="1"/>
  <c r="E30" i="2" a="1"/>
  <c r="E30" i="2" s="1"/>
  <c r="B32" i="2" a="1"/>
  <c r="B32" i="2" s="1"/>
  <c r="B35" i="2" a="1"/>
  <c r="B35" i="2" s="1"/>
  <c r="C8" i="2" a="1"/>
  <c r="C8" i="2" s="1"/>
  <c r="B10" i="2" a="1"/>
  <c r="B10" i="2" s="1"/>
  <c r="B28" i="2" a="1"/>
  <c r="B28" i="2" s="1"/>
  <c r="E33" i="2" a="1"/>
  <c r="E33" i="2" s="1"/>
  <c r="D36" i="2" a="1"/>
  <c r="D36" i="2" s="1"/>
  <c r="F6" i="2"/>
  <c r="G6" i="2" s="1"/>
  <c r="D8" i="2" a="1"/>
  <c r="D8" i="2" s="1"/>
  <c r="E11" i="2" a="1"/>
  <c r="E11" i="2" s="1"/>
  <c r="E19" i="2" a="1"/>
  <c r="E19" i="2" s="1"/>
  <c r="F39" i="2" a="1"/>
  <c r="F39" i="2" s="1"/>
  <c r="E26" i="2" a="1"/>
  <c r="E26" i="2" s="1"/>
  <c r="D29" i="2" a="1"/>
  <c r="D29" i="2" s="1"/>
  <c r="F33" i="2"/>
  <c r="E8" i="2" a="1"/>
  <c r="E8" i="2" s="1"/>
  <c r="F11" i="2"/>
  <c r="E16" i="2" a="1"/>
  <c r="E16" i="2" s="1"/>
  <c r="C18" i="2" a="1"/>
  <c r="C18" i="2" s="1"/>
  <c r="F23" i="2"/>
  <c r="G23" i="2" s="1"/>
  <c r="C25" i="2" a="1"/>
  <c r="C25" i="2" s="1"/>
  <c r="F26" i="2"/>
  <c r="C28" i="2" a="1"/>
  <c r="C28" i="2" s="1"/>
  <c r="A34" i="2"/>
  <c r="F8" i="2"/>
  <c r="A12" i="2"/>
  <c r="F19" i="2"/>
  <c r="A31" i="2"/>
  <c r="D32" i="2" a="1"/>
  <c r="D32" i="2" s="1"/>
  <c r="B34" i="2" a="1"/>
  <c r="B34" i="2" s="1"/>
  <c r="D35" i="2" a="1"/>
  <c r="D35" i="2" s="1"/>
  <c r="B7" i="2" a="1"/>
  <c r="B7" i="2" s="1"/>
  <c r="D10" i="2" a="1"/>
  <c r="D10" i="2" s="1"/>
  <c r="B40" i="2" a="1"/>
  <c r="B40" i="2" s="1"/>
  <c r="E22" i="2" a="1"/>
  <c r="E22" i="2" s="1"/>
  <c r="A24" i="2"/>
  <c r="D25" i="2" a="1"/>
  <c r="D25" i="2" s="1"/>
  <c r="B27" i="2" a="1"/>
  <c r="B27" i="2" s="1"/>
  <c r="F36" i="2"/>
  <c r="C7" i="2" a="1"/>
  <c r="C7" i="2" s="1"/>
  <c r="C15" i="2" a="1"/>
  <c r="C15" i="2" s="1"/>
  <c r="B17" i="2" a="1"/>
  <c r="B17" i="2" s="1"/>
  <c r="F32" i="2"/>
  <c r="C34" i="2" a="1"/>
  <c r="C34" i="2" s="1"/>
  <c r="E35" i="2" a="1"/>
  <c r="E35" i="2" s="1"/>
  <c r="D7" i="2" a="1"/>
  <c r="D7" i="2" s="1"/>
  <c r="B9" i="2" a="1"/>
  <c r="B9" i="2" s="1"/>
  <c r="E10" i="2" a="1"/>
  <c r="E10" i="2" s="1"/>
  <c r="F13" i="2"/>
  <c r="G13" i="2" s="1"/>
  <c r="F25" i="2"/>
  <c r="C27" i="2" a="1"/>
  <c r="C27" i="2" s="1"/>
  <c r="E7" i="2" a="1"/>
  <c r="E7" i="2" s="1"/>
  <c r="F10" i="2"/>
  <c r="D12" i="2" a="1"/>
  <c r="D12" i="2" s="1"/>
  <c r="E15" i="2" a="1"/>
  <c r="E15" i="2" s="1"/>
  <c r="F40" i="2" a="1"/>
  <c r="F40" i="2" s="1"/>
  <c r="B43" i="2" a="1"/>
  <c r="B43" i="2" s="1"/>
  <c r="D31" i="2" a="1"/>
  <c r="D31" i="2" s="1"/>
  <c r="A33" i="2"/>
  <c r="D34" i="2" a="1"/>
  <c r="D34" i="2" s="1"/>
  <c r="A6" i="2"/>
  <c r="F15" i="2"/>
  <c r="D24" i="2" a="1"/>
  <c r="D24" i="2" s="1"/>
  <c r="A26" i="2"/>
  <c r="F28" i="2"/>
  <c r="A30" i="2"/>
  <c r="E31" i="2" a="1"/>
  <c r="E31" i="2" s="1"/>
  <c r="B33" i="2" a="1"/>
  <c r="B33" i="2" s="1"/>
  <c r="B6" i="2" a="1"/>
  <c r="B6" i="2" s="1"/>
  <c r="F7" i="2"/>
  <c r="B11" i="2" a="1"/>
  <c r="B11" i="2" s="1"/>
  <c r="E12" i="2" a="1"/>
  <c r="E12" i="2" s="1"/>
  <c r="A23" i="2"/>
  <c r="B26" i="2" a="1"/>
  <c r="B26" i="2" s="1"/>
  <c r="B30" i="2" a="1"/>
  <c r="B30" i="2" s="1"/>
  <c r="E34" i="2" a="1"/>
  <c r="E34" i="2" s="1"/>
  <c r="C6" i="2" a="1"/>
  <c r="C6" i="2" s="1"/>
  <c r="D9" i="2" a="1"/>
  <c r="D9" i="2" s="1"/>
  <c r="C14" i="2" a="1"/>
  <c r="C14" i="2" s="1"/>
  <c r="A16" i="2"/>
  <c r="F43" i="2" a="1"/>
  <c r="F43" i="2" s="1"/>
  <c r="B23" i="2" a="1"/>
  <c r="B23" i="2" s="1"/>
  <c r="C30" i="2" a="1"/>
  <c r="C30" i="2" s="1"/>
  <c r="A36" i="2"/>
  <c r="A8" i="2"/>
  <c r="C11" i="2" a="1"/>
  <c r="C11" i="2" s="1"/>
  <c r="F12" i="2"/>
  <c r="E17" i="2" a="1"/>
  <c r="E17" i="2" s="1"/>
  <c r="C19" i="2" a="1"/>
  <c r="C19" i="2" s="1"/>
  <c r="G43" i="2"/>
  <c r="C23" i="2" a="1"/>
  <c r="C23" i="2" s="1"/>
  <c r="F24" i="2"/>
  <c r="C26" i="2" a="1"/>
  <c r="C26" i="2" s="1"/>
  <c r="F34" i="2"/>
  <c r="B36" i="2" a="1"/>
  <c r="B36" i="2" s="1"/>
  <c r="B8" i="2" a="1"/>
  <c r="B8" i="2" s="1"/>
  <c r="C41" i="2"/>
  <c r="D23" i="2" a="1"/>
  <c r="D23" i="2" s="1"/>
  <c r="F27" i="2"/>
  <c r="B29" i="2" a="1"/>
  <c r="B29" i="2" s="1"/>
  <c r="A32" i="2"/>
  <c r="D33" i="2" a="1"/>
  <c r="D33" i="2" s="1"/>
  <c r="A35" i="2"/>
  <c r="A10" i="2"/>
  <c r="C16" i="2" a="1"/>
  <c r="C16" i="2" s="1"/>
  <c r="A18" i="2"/>
  <c r="D19" i="2" a="1"/>
  <c r="D19" i="2" s="1"/>
  <c r="F20" i="2"/>
  <c r="A22" i="2" l="1"/>
  <c r="E9" i="2" a="1"/>
  <c r="E9" i="2" s="1"/>
  <c r="E24" i="2" a="1"/>
  <c r="E24" i="2" s="1"/>
  <c r="H24" i="2" s="1"/>
  <c r="C9" i="2" a="1"/>
  <c r="C9" i="2" s="1"/>
  <c r="F22" i="2"/>
  <c r="G22" i="2" s="1"/>
  <c r="E32" i="2" a="1"/>
  <c r="E32" i="2" s="1"/>
  <c r="E29" i="2" a="1"/>
  <c r="E29" i="2" s="1"/>
  <c r="C10" i="2" a="1"/>
  <c r="C10" i="2" s="1"/>
  <c r="H10" i="2" s="1"/>
  <c r="B25" i="2" a="1"/>
  <c r="B25" i="2" s="1"/>
  <c r="E23" i="2" a="1"/>
  <c r="E23" i="2" s="1"/>
  <c r="C40" i="2"/>
  <c r="B31" i="2" a="1"/>
  <c r="B31" i="2" s="1"/>
  <c r="A27" i="2"/>
  <c r="F17" i="2"/>
  <c r="G17" i="2" s="1"/>
  <c r="D6" i="2" a="1"/>
  <c r="D6" i="2" s="1"/>
  <c r="B14" i="2" a="1"/>
  <c r="B14" i="2" s="1"/>
  <c r="F35" i="2"/>
  <c r="G35" i="2" s="1"/>
  <c r="A20" i="2"/>
  <c r="D28" i="2" a="1"/>
  <c r="D28" i="2" s="1"/>
  <c r="H28" i="2" s="1"/>
  <c r="G39" i="2"/>
  <c r="C35" i="2" a="1"/>
  <c r="C35" i="2" s="1"/>
  <c r="B18" i="2" a="1"/>
  <c r="B18" i="2" s="1"/>
  <c r="C33" i="2" a="1"/>
  <c r="C33" i="2" s="1"/>
  <c r="C31" i="2" a="1"/>
  <c r="C31" i="2" s="1"/>
  <c r="F29" i="2"/>
  <c r="G29" i="2" s="1"/>
  <c r="D18" i="2" a="1"/>
  <c r="D18" i="2" s="1"/>
  <c r="A7" i="2"/>
  <c r="C32" i="2" a="1"/>
  <c r="C32" i="2" s="1"/>
  <c r="H32" i="2" s="1"/>
  <c r="C22" i="2" a="1"/>
  <c r="C22" i="2" s="1"/>
  <c r="E6" i="2" a="1"/>
  <c r="E6" i="2" s="1"/>
  <c r="D30" i="2" a="1"/>
  <c r="D30" i="2" s="1"/>
  <c r="G40" i="2"/>
  <c r="A14" i="2"/>
  <c r="C36" i="2" a="1"/>
  <c r="C36" i="2" s="1"/>
  <c r="A29" i="2"/>
  <c r="F31" i="2"/>
  <c r="G31" i="2" s="1"/>
  <c r="D20" i="2" a="1"/>
  <c r="D20" i="2" s="1"/>
  <c r="A11" i="2"/>
  <c r="E28" i="2" a="1"/>
  <c r="E28" i="2" s="1"/>
  <c r="E25" i="2" a="1"/>
  <c r="E25" i="2" s="1"/>
  <c r="B12" i="2" a="1"/>
  <c r="B12" i="2" s="1"/>
  <c r="E36" i="2" a="1"/>
  <c r="E36" i="2" s="1"/>
  <c r="F30" i="2"/>
  <c r="G30" i="2" s="1"/>
  <c r="C39" i="2"/>
  <c r="A13" i="2"/>
  <c r="E14" i="2" a="1"/>
  <c r="E14" i="2" s="1"/>
  <c r="B16" i="2" a="1"/>
  <c r="B16" i="2" s="1"/>
  <c r="B41" i="2" a="1"/>
  <c r="B41" i="2" s="1"/>
  <c r="A19" i="2"/>
  <c r="C20" i="2" a="1"/>
  <c r="C20" i="2" s="1"/>
  <c r="B20" i="2" a="1"/>
  <c r="B20" i="2" s="1"/>
  <c r="E18" i="2" a="1"/>
  <c r="E18" i="2" s="1"/>
  <c r="C12" i="2" a="1"/>
  <c r="C12" i="2" s="1"/>
  <c r="H12" i="2" s="1"/>
  <c r="A17" i="2"/>
  <c r="F16" i="2"/>
  <c r="G16" i="2" s="1"/>
  <c r="A15" i="2"/>
  <c r="D16" i="2" a="1"/>
  <c r="D16" i="2" s="1"/>
  <c r="F14" i="2"/>
  <c r="G14" i="2" s="1"/>
  <c r="D11" i="2" a="1"/>
  <c r="D11" i="2" s="1"/>
  <c r="H11" i="2" s="1"/>
  <c r="F9" i="2"/>
  <c r="G9" i="2" s="1"/>
  <c r="D14" i="2" a="1"/>
  <c r="D14" i="2" s="1"/>
  <c r="B19" i="2" a="1"/>
  <c r="B19" i="2" s="1"/>
  <c r="D17" i="2" a="1"/>
  <c r="D17" i="2" s="1"/>
  <c r="F18" i="2"/>
  <c r="G18" i="2" s="1"/>
  <c r="C17" i="2" a="1"/>
  <c r="C17" i="2" s="1"/>
  <c r="D15" i="2" a="1"/>
  <c r="D15" i="2" s="1"/>
  <c r="A9" i="2"/>
  <c r="E13" i="2" a="1"/>
  <c r="E13" i="2" s="1"/>
  <c r="B15" i="2" a="1"/>
  <c r="B15" i="2" s="1"/>
  <c r="D13" i="2" a="1"/>
  <c r="D13" i="2" s="1"/>
  <c r="C13" i="2" a="1"/>
  <c r="C13" i="2" s="1"/>
  <c r="B13" i="2" a="1"/>
  <c r="B13" i="2" s="1"/>
  <c r="E20" i="2" a="1"/>
  <c r="E20" i="2" s="1"/>
  <c r="E27" i="2" a="1"/>
  <c r="E27" i="2" s="1"/>
  <c r="C43" i="2"/>
  <c r="D27" i="2" a="1"/>
  <c r="D27" i="2" s="1"/>
  <c r="C24" i="2" a="1"/>
  <c r="C24" i="2" s="1"/>
  <c r="G42" i="2"/>
  <c r="B24" i="2" a="1"/>
  <c r="B24" i="2" s="1"/>
  <c r="F42" i="2" a="1"/>
  <c r="F42" i="2" s="1"/>
  <c r="C42" i="2"/>
  <c r="D22" i="2" a="1"/>
  <c r="D22" i="2" s="1"/>
  <c r="B42" i="2" a="1"/>
  <c r="B42" i="2" s="1"/>
  <c r="G41" i="2"/>
  <c r="B39" i="2" a="1"/>
  <c r="B39" i="2" s="1"/>
  <c r="U73" i="10"/>
  <c r="H23" i="2"/>
  <c r="G25" i="2"/>
  <c r="H25" i="2"/>
  <c r="G12" i="2"/>
  <c r="G15" i="2"/>
  <c r="H15" i="2"/>
  <c r="G11" i="2"/>
  <c r="G36" i="2"/>
  <c r="G8" i="2"/>
  <c r="H8" i="2"/>
  <c r="G34" i="2"/>
  <c r="H34" i="2"/>
  <c r="G10" i="2"/>
  <c r="G7" i="2"/>
  <c r="H7" i="2"/>
  <c r="G33" i="2"/>
  <c r="H33" i="2"/>
  <c r="G24" i="2"/>
  <c r="G32" i="2"/>
  <c r="G26" i="2"/>
  <c r="H26" i="2"/>
  <c r="G27" i="2"/>
  <c r="G20" i="2"/>
  <c r="H20" i="2"/>
  <c r="G28" i="2"/>
  <c r="G19" i="2"/>
  <c r="H19" i="2"/>
  <c r="H35" i="2" l="1"/>
  <c r="H29" i="2"/>
  <c r="H17" i="2"/>
  <c r="H27" i="2"/>
  <c r="H36" i="2"/>
  <c r="H6" i="2"/>
  <c r="H31" i="2"/>
  <c r="H22" i="2"/>
  <c r="H30" i="2"/>
  <c r="H13" i="2"/>
  <c r="H18" i="2"/>
  <c r="H14" i="2"/>
  <c r="H16" i="2"/>
  <c r="H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<sst xmlns="http://schemas.openxmlformats.org/spreadsheetml/2006/main" count="432" uniqueCount="192">
  <si>
    <t>xGF</t>
  </si>
  <si>
    <t>xGA</t>
  </si>
  <si>
    <t>PTS%</t>
  </si>
  <si>
    <t>GF</t>
  </si>
  <si>
    <t>GA</t>
  </si>
  <si>
    <t>PDO</t>
  </si>
  <si>
    <t>Rk</t>
  </si>
  <si>
    <t>Team</t>
  </si>
  <si>
    <t>Colorado Avalanche*</t>
  </si>
  <si>
    <t>Carolina Hurricanes</t>
  </si>
  <si>
    <t>Dallas Stars*</t>
  </si>
  <si>
    <t>Buffalo Sabres</t>
  </si>
  <si>
    <t>Montreal Canadiens</t>
  </si>
  <si>
    <t>Tampa Bay Lightning</t>
  </si>
  <si>
    <t>Minnesota Wild*</t>
  </si>
  <si>
    <t>Boston Bruins</t>
  </si>
  <si>
    <t>Pittsburgh Penguins</t>
  </si>
  <si>
    <t>Ottawa Senators</t>
  </si>
  <si>
    <t>Philadelphia Flyers</t>
  </si>
  <si>
    <t>Washington Capitals</t>
  </si>
  <si>
    <t>Columbus Blue Jackets</t>
  </si>
  <si>
    <t>New York Islanders</t>
  </si>
  <si>
    <t>Detroit Red Wings</t>
  </si>
  <si>
    <t>Vegas Golden Knights</t>
  </si>
  <si>
    <t>Edmonton Oilers</t>
  </si>
  <si>
    <t>Anaheim Ducks</t>
  </si>
  <si>
    <t>Utah Mammoth</t>
  </si>
  <si>
    <t>Los Angeles Kings</t>
  </si>
  <si>
    <t>New Jersey Devils</t>
  </si>
  <si>
    <t>Nashville Predators</t>
  </si>
  <si>
    <t>Winnipeg Jets</t>
  </si>
  <si>
    <t>San Jose Sharks</t>
  </si>
  <si>
    <t>Florida Panthers</t>
  </si>
  <si>
    <t>St. Louis Blues</t>
  </si>
  <si>
    <t>Seattle Kraken</t>
  </si>
  <si>
    <t>Toronto Maple Leafs</t>
  </si>
  <si>
    <t>Calgary Flames</t>
  </si>
  <si>
    <t>New York Rangers</t>
  </si>
  <si>
    <t>Chicago Blackhawks</t>
  </si>
  <si>
    <t>Vancouver Canucks</t>
  </si>
  <si>
    <t>GF−xGF</t>
  </si>
  <si>
    <t>GA−xGA</t>
  </si>
  <si>
    <t>xGDiff</t>
  </si>
  <si>
    <t>Net Luck</t>
  </si>
  <si>
    <t>Rank</t>
  </si>
  <si>
    <t>R²</t>
  </si>
  <si>
    <t>Std Error</t>
  </si>
  <si>
    <t>Intercept</t>
  </si>
  <si>
    <t>S</t>
  </si>
  <si>
    <t>SA</t>
  </si>
  <si>
    <t>Gdiff</t>
  </si>
  <si>
    <t>Sdiff</t>
  </si>
  <si>
    <t>League Average</t>
  </si>
  <si>
    <t>Pred PTS%</t>
  </si>
  <si>
    <t>Residual</t>
  </si>
  <si>
    <t>PyThagWin%</t>
  </si>
  <si>
    <t>Pythag Residual</t>
  </si>
  <si>
    <t>Model 1: PTS% vs xGDiff</t>
  </si>
  <si>
    <t>Slope</t>
  </si>
  <si>
    <t>R</t>
  </si>
  <si>
    <t>N</t>
  </si>
  <si>
    <t>Equation</t>
  </si>
  <si>
    <t>Summary Comparison</t>
  </si>
  <si>
    <t>Model</t>
  </si>
  <si>
    <t>Predictor</t>
  </si>
  <si>
    <t xml:space="preserve">Data Pull </t>
  </si>
  <si>
    <t>Data Evaluated</t>
  </si>
  <si>
    <t>Simple Linear Regression — PTS% as Dependent Variable</t>
  </si>
  <si>
    <t>Model 2: PTS% vs Net Luck</t>
  </si>
  <si>
    <t>Model 3: PTS% vs PyThagWin%</t>
  </si>
  <si>
    <t>Chart Data (live-linked)</t>
  </si>
  <si>
    <t>Predicted</t>
  </si>
  <si>
    <t>NetLuck</t>
  </si>
  <si>
    <t>aGF</t>
  </si>
  <si>
    <t>aGA</t>
  </si>
  <si>
    <t>Regression Analysis: PDO vs Net Luck</t>
  </si>
  <si>
    <t>Independent Variable (X):</t>
  </si>
  <si>
    <t>Dependent Variable (Y):</t>
  </si>
  <si>
    <t>Regression Statistics</t>
  </si>
  <si>
    <t>Standard Error</t>
  </si>
  <si>
    <t>Observations</t>
  </si>
  <si>
    <t>Regression Equation</t>
  </si>
  <si>
    <t>Data</t>
  </si>
  <si>
    <t>Predicted Net Luck</t>
  </si>
  <si>
    <t>Xpythag R</t>
  </si>
  <si>
    <t>XGDiffPythag</t>
  </si>
  <si>
    <t>Model 4: PTS% vs XPythagWin%</t>
  </si>
  <si>
    <t>XPythagWin%</t>
  </si>
  <si>
    <t>Py - Xpy</t>
  </si>
  <si>
    <t>Per-Team Regressions, Residuals, Rankings, Points &amp; Totals</t>
  </si>
  <si>
    <t>Regression Stats</t>
  </si>
  <si>
    <t>Analysis 1: PTS% ~ Net Luck</t>
  </si>
  <si>
    <t>Analysis 2: PTS% ~ xGDiff</t>
  </si>
  <si>
    <t>Analysis 3: PyThagWin% − XGDiffPythag</t>
  </si>
  <si>
    <t>(direct difference, no regression)</t>
  </si>
  <si>
    <t>Pred PTS% (NL)</t>
  </si>
  <si>
    <t>Residual 1</t>
  </si>
  <si>
    <t>Pred PTS% (xGD)</t>
  </si>
  <si>
    <t>Residual 2</t>
  </si>
  <si>
    <t>Residual 3</t>
  </si>
  <si>
    <t>Rank 1 (desc)</t>
  </si>
  <si>
    <t>Rank 2 (desc)</t>
  </si>
  <si>
    <t>Rank 3 (desc)</t>
  </si>
  <si>
    <t>A1 Lucky Pts</t>
  </si>
  <si>
    <t>A2 Lucky Pts</t>
  </si>
  <si>
    <t>A3 Lucky Pts</t>
  </si>
  <si>
    <t>A1 Unlucky Pts</t>
  </si>
  <si>
    <t>A2 Unlucky Pts</t>
  </si>
  <si>
    <t>A3 Unlucky Pts</t>
  </si>
  <si>
    <t>Grand Lucky</t>
  </si>
  <si>
    <t>Grand Unlucky</t>
  </si>
  <si>
    <t>Luck Analysis — Grand Scoring Across 3 Models</t>
  </si>
  <si>
    <t>GRAND LUCKIEST TEAMS (sorted by Total desc)</t>
  </si>
  <si>
    <t>A1 Pts</t>
  </si>
  <si>
    <t>A2 Pts</t>
  </si>
  <si>
    <t>A3 Pts</t>
  </si>
  <si>
    <t>Total</t>
  </si>
  <si>
    <t>Verdict</t>
  </si>
  <si>
    <t>Notes</t>
  </si>
  <si>
    <t>GRAND SUMMARY — Top 5 Luckiest vs Top 5 Unluckiest</t>
  </si>
  <si>
    <t>Luckiest Team</t>
  </si>
  <si>
    <t xml:space="preserve"> </t>
  </si>
  <si>
    <t>Unluckiest Team</t>
  </si>
  <si>
    <t>XGDiffPts%</t>
  </si>
  <si>
    <t>XGDiff R</t>
  </si>
  <si>
    <t>Total Luck</t>
  </si>
  <si>
    <t>Total = Grand Lucky − Grand Unlucky (net luck score). Luckiest sorted desc, Unluckiest sorted asc. Verdict bands use |Total|.</t>
  </si>
  <si>
    <t>No Luck Teams</t>
  </si>
  <si>
    <t>Analysis 4: Net Luck ~ PDO</t>
  </si>
  <si>
    <t>Pred Net Luck</t>
  </si>
  <si>
    <t>Residual 4</t>
  </si>
  <si>
    <t>Rank 4 (desc)</t>
  </si>
  <si>
    <t>A4 Lucky Pts</t>
  </si>
  <si>
    <t>A4 Unlucky Pts</t>
  </si>
  <si>
    <t>Std</t>
  </si>
  <si>
    <t>PosX</t>
  </si>
  <si>
    <t>PosY</t>
  </si>
  <si>
    <t>PosTeam</t>
  </si>
  <si>
    <t>COL</t>
  </si>
  <si>
    <t>CAR</t>
  </si>
  <si>
    <t>BUF</t>
  </si>
  <si>
    <t>MTL</t>
  </si>
  <si>
    <t>TBL</t>
  </si>
  <si>
    <t>MIN</t>
  </si>
  <si>
    <t>BOS</t>
  </si>
  <si>
    <t>NegX</t>
  </si>
  <si>
    <t>NegY</t>
  </si>
  <si>
    <t>NegTeam</t>
  </si>
  <si>
    <t>VGK</t>
  </si>
  <si>
    <t>EDM</t>
  </si>
  <si>
    <t>NJD</t>
  </si>
  <si>
    <t>NYR</t>
  </si>
  <si>
    <t>VAN</t>
  </si>
  <si>
    <t>OutlierLabel</t>
  </si>
  <si>
    <t>DAL</t>
  </si>
  <si>
    <t>CGY</t>
  </si>
  <si>
    <t>CHI</t>
  </si>
  <si>
    <t>Label</t>
  </si>
  <si>
    <t>STL</t>
  </si>
  <si>
    <t>FLA</t>
  </si>
  <si>
    <t>Luck</t>
  </si>
  <si>
    <t>GL_X</t>
  </si>
  <si>
    <t>GL_Y</t>
  </si>
  <si>
    <t>GL_Ab</t>
  </si>
  <si>
    <t>BL_X</t>
  </si>
  <si>
    <t>BL_Y</t>
  </si>
  <si>
    <t>BL_Ab</t>
  </si>
  <si>
    <t>GU_X</t>
  </si>
  <si>
    <t>GU_Y</t>
  </si>
  <si>
    <t>GU_Ab</t>
  </si>
  <si>
    <t>BU_X</t>
  </si>
  <si>
    <t>BU_Y</t>
  </si>
  <si>
    <t>BU_Ab</t>
  </si>
  <si>
    <t>xGdiff</t>
  </si>
  <si>
    <t>ABR</t>
  </si>
  <si>
    <t>PIT</t>
  </si>
  <si>
    <t>OTT</t>
  </si>
  <si>
    <t>PHI</t>
  </si>
  <si>
    <t>WSH</t>
  </si>
  <si>
    <t>CBJ</t>
  </si>
  <si>
    <t>NYI</t>
  </si>
  <si>
    <t>DET</t>
  </si>
  <si>
    <t>ANA</t>
  </si>
  <si>
    <t>UTA</t>
  </si>
  <si>
    <t>LAK</t>
  </si>
  <si>
    <t>NSH</t>
  </si>
  <si>
    <t>WPG</t>
  </si>
  <si>
    <t>SJS</t>
  </si>
  <si>
    <t>SEA</t>
  </si>
  <si>
    <t>TOR</t>
  </si>
  <si>
    <t xml:space="preserve">Regession </t>
  </si>
  <si>
    <t xml:space="preserve">Residual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</si>
</sst>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1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8.6"/>
      <color rgb="FF990000"/>
      <name val="Verdana"/>
      <family val="2"/>
    </font>
    <font>
      <b/>
      <sz val="14"/>
      <color rgb="FF990000"/>
      <name val="Verdan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14"/>
      <color rgb="FF990000"/>
      <name val="Trebuchet MS"/>
      <family val="2"/>
    </font>
    <font>
      <sz val="14"/>
      <color theme="1"/>
      <name val="Trebuchet MS"/>
      <family val="2"/>
    </font>
    <font>
      <u/>
      <sz val="14"/>
      <color theme="10"/>
      <name val="Trebuchet MS"/>
      <family val="2"/>
    </font>
    <font>
      <sz val="14"/>
      <color theme="1"/>
      <name val="Verdana"/>
      <family val="2"/>
    </font>
    <font>
      <b/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2" fontId="0" fillId="0" borderId="0" xfId="0" applyNumberFormat="1"/>
    <xf numFmtId="0" fontId="4" fillId="0" borderId="0" xfId="0" applyFont="1"/>
    <xf numFmtId="0" fontId="5" fillId="0" borderId="0" xfId="0" applyFont="1"/>
    <xf numFmtId="165" fontId="0" fillId="0" borderId="0" xfId="0" applyNumberFormat="1"/>
    <xf numFmtId="0" fontId="5" fillId="3" borderId="0" xfId="0" applyFont="1" applyFill="1"/>
    <xf numFmtId="0" fontId="0" fillId="5" borderId="0" xfId="0" applyFill="1"/>
    <xf numFmtId="0" fontId="0" fillId="4" borderId="0" xfId="0" applyFill="1"/>
    <xf numFmtId="0" fontId="6" fillId="0" borderId="0" xfId="0" applyFont="1"/>
    <xf numFmtId="0" fontId="5" fillId="6" borderId="0" xfId="0" applyFont="1" applyFill="1"/>
    <xf numFmtId="0" fontId="5" fillId="7" borderId="0" xfId="0" applyFont="1" applyFill="1"/>
    <xf numFmtId="0" fontId="0" fillId="7" borderId="0" xfId="0" applyFill="1"/>
    <xf numFmtId="165" fontId="0" fillId="7" borderId="0" xfId="0" applyNumberFormat="1" applyFill="1"/>
    <xf numFmtId="0" fontId="5" fillId="8" borderId="0" xfId="0" applyFont="1" applyFill="1"/>
    <xf numFmtId="0" fontId="0" fillId="8" borderId="0" xfId="0" applyFill="1"/>
    <xf numFmtId="165" fontId="0" fillId="8" borderId="0" xfId="0" applyNumberFormat="1" applyFill="1"/>
    <xf numFmtId="0" fontId="5" fillId="9" borderId="0" xfId="0" applyFont="1" applyFill="1"/>
    <xf numFmtId="0" fontId="0" fillId="9" borderId="0" xfId="0" applyFill="1"/>
    <xf numFmtId="165" fontId="0" fillId="9" borderId="0" xfId="0" applyNumberFormat="1" applyFill="1"/>
    <xf numFmtId="0" fontId="5" fillId="10" borderId="0" xfId="0" applyFont="1" applyFill="1"/>
    <xf numFmtId="0" fontId="0" fillId="10" borderId="0" xfId="0" applyFill="1"/>
    <xf numFmtId="165" fontId="0" fillId="10" borderId="0" xfId="0" applyNumberFormat="1" applyFill="1"/>
    <xf numFmtId="0" fontId="7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2" fontId="8" fillId="5" borderId="3" xfId="0" applyNumberFormat="1" applyFont="1" applyFill="1" applyBorder="1" applyAlignment="1">
      <alignment horizontal="center" vertical="center"/>
    </xf>
    <xf numFmtId="2" fontId="8" fillId="5" borderId="9" xfId="0" applyNumberFormat="1" applyFont="1" applyFill="1" applyBorder="1" applyAlignment="1">
      <alignment horizontal="center" vertical="center"/>
    </xf>
    <xf numFmtId="0" fontId="5" fillId="13" borderId="0" xfId="0" applyFont="1" applyFill="1"/>
    <xf numFmtId="2" fontId="0" fillId="10" borderId="0" xfId="0" applyNumberFormat="1" applyFill="1"/>
    <xf numFmtId="0" fontId="7" fillId="11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12" borderId="0" xfId="0" applyFont="1" applyFill="1"/>
    <xf numFmtId="0" fontId="0" fillId="12" borderId="0" xfId="0" applyFill="1"/>
    <xf numFmtId="0" fontId="11" fillId="0" borderId="0" xfId="0" applyFont="1"/>
    <xf numFmtId="0" fontId="5" fillId="14" borderId="0" xfId="0" applyFont="1" applyFill="1"/>
    <xf numFmtId="0" fontId="5" fillId="15" borderId="0" xfId="0" applyFont="1" applyFill="1"/>
    <xf numFmtId="0" fontId="5" fillId="16" borderId="0" xfId="0" applyFont="1" applyFill="1"/>
    <xf numFmtId="0" fontId="5" fillId="17" borderId="0" xfId="0" applyFont="1" applyFill="1"/>
    <xf numFmtId="0" fontId="5" fillId="18" borderId="0" xfId="0" applyFont="1" applyFill="1"/>
    <xf numFmtId="0" fontId="12" fillId="0" borderId="0" xfId="0" applyFont="1"/>
    <xf numFmtId="0" fontId="5" fillId="19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3" fillId="11" borderId="0" xfId="0" applyFont="1" applyFill="1"/>
    <xf numFmtId="0" fontId="14" fillId="11" borderId="0" xfId="0" applyFont="1" applyFill="1"/>
    <xf numFmtId="165" fontId="14" fillId="11" borderId="0" xfId="0" applyNumberFormat="1" applyFont="1" applyFill="1"/>
    <xf numFmtId="0" fontId="14" fillId="14" borderId="0" xfId="0" applyFont="1" applyFill="1"/>
    <xf numFmtId="0" fontId="14" fillId="6" borderId="0" xfId="0" applyFont="1" applyFill="1"/>
    <xf numFmtId="0" fontId="14" fillId="15" borderId="0" xfId="0" applyFont="1" applyFill="1"/>
    <xf numFmtId="0" fontId="14" fillId="16" borderId="0" xfId="0" applyFont="1" applyFill="1"/>
    <xf numFmtId="2" fontId="14" fillId="11" borderId="0" xfId="0" applyNumberFormat="1" applyFont="1" applyFill="1"/>
    <xf numFmtId="0" fontId="13" fillId="5" borderId="0" xfId="0" applyFont="1" applyFill="1"/>
    <xf numFmtId="166" fontId="0" fillId="0" borderId="0" xfId="0" applyNumberFormat="1"/>
    <xf numFmtId="2" fontId="0" fillId="12" borderId="0" xfId="0" applyNumberFormat="1" applyFill="1"/>
    <xf numFmtId="2" fontId="8" fillId="5" borderId="0" xfId="0" applyNumberFormat="1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1">
    <dxf>
      <font>
        <strike val="0"/>
        <outline val="0"/>
        <shadow val="0"/>
        <vertAlign val="baseline"/>
        <sz val="14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numFmt numFmtId="2" formatCode="0.0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164" formatCode="0.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164" formatCode="0.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164" formatCode="0.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numFmt numFmtId="164" formatCode="0.0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rgb="FFDDDDDD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4"/>
        <name val="Trebuchet M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99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CC4BC"/>
      <color rgb="FFF98677"/>
      <color rgb="FFE2C5FF"/>
      <color rgb="FFCC99FF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PTS% vs xGDiff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'Regression Analysis'!$K$5</c:f>
              <c:strCache>
                <c:ptCount val="1"/>
                <c:pt idx="0">
                  <c:v>PTS%</c:v>
                </c:pt>
              </c:strCache>
            </c:strRef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'Regression Analysis'!$J$6:$J$37</c:f>
              <c:numCache>
                <c:formatCode>General</c:formatCode>
                <c:ptCount val="32"/>
                <c:pt idx="0">
                  <c:v>50.5</c:v>
                </c:pt>
                <c:pt idx="1">
                  <c:v>37.099999999999994</c:v>
                </c:pt>
                <c:pt idx="2">
                  <c:v>11.400000000000006</c:v>
                </c:pt>
                <c:pt idx="3">
                  <c:v>-7.6999999999999886</c:v>
                </c:pt>
                <c:pt idx="4">
                  <c:v>-1.7000000000000171</c:v>
                </c:pt>
                <c:pt idx="5">
                  <c:v>19</c:v>
                </c:pt>
                <c:pt idx="6">
                  <c:v>-4.5999999999999943</c:v>
                </c:pt>
                <c:pt idx="7">
                  <c:v>-24.5</c:v>
                </c:pt>
                <c:pt idx="8">
                  <c:v>18.599999999999994</c:v>
                </c:pt>
                <c:pt idx="9">
                  <c:v>35.799999999999983</c:v>
                </c:pt>
                <c:pt idx="10">
                  <c:v>15.5</c:v>
                </c:pt>
                <c:pt idx="11">
                  <c:v>4.5</c:v>
                </c:pt>
                <c:pt idx="12">
                  <c:v>2.9000000000000057</c:v>
                </c:pt>
                <c:pt idx="13">
                  <c:v>-13.599999999999994</c:v>
                </c:pt>
                <c:pt idx="14">
                  <c:v>-1.9000000000000057</c:v>
                </c:pt>
                <c:pt idx="15">
                  <c:v>32.099999999999994</c:v>
                </c:pt>
                <c:pt idx="16">
                  <c:v>16.299999999999983</c:v>
                </c:pt>
                <c:pt idx="17">
                  <c:v>3.9000000000000057</c:v>
                </c:pt>
                <c:pt idx="18">
                  <c:v>24.800000000000011</c:v>
                </c:pt>
                <c:pt idx="19">
                  <c:v>6.5</c:v>
                </c:pt>
                <c:pt idx="20">
                  <c:v>-1.5</c:v>
                </c:pt>
                <c:pt idx="21">
                  <c:v>-14.599999999999994</c:v>
                </c:pt>
                <c:pt idx="22">
                  <c:v>-6.6999999999999886</c:v>
                </c:pt>
                <c:pt idx="23">
                  <c:v>-14.5</c:v>
                </c:pt>
                <c:pt idx="24">
                  <c:v>-4.5999999999999943</c:v>
                </c:pt>
                <c:pt idx="25">
                  <c:v>-2</c:v>
                </c:pt>
                <c:pt idx="26">
                  <c:v>-21.299999999999983</c:v>
                </c:pt>
                <c:pt idx="27">
                  <c:v>-33.800000000000011</c:v>
                </c:pt>
                <c:pt idx="28">
                  <c:v>-20.400000000000006</c:v>
                </c:pt>
                <c:pt idx="29">
                  <c:v>-7.5999999999999943</c:v>
                </c:pt>
                <c:pt idx="30">
                  <c:v>-58.900000000000006</c:v>
                </c:pt>
                <c:pt idx="31">
                  <c:v>-39.200000000000017</c:v>
                </c:pt>
              </c:numCache>
            </c:numRef>
          </c:xVal>
          <c:yVal>
            <c:numRef>
              <c:f>'Regression Analysis'!$K$6:$K$37</c:f>
              <c:numCache>
                <c:formatCode>General</c:formatCode>
                <c:ptCount val="32"/>
                <c:pt idx="0">
                  <c:v>72.8</c:v>
                </c:pt>
                <c:pt idx="1">
                  <c:v>68.8</c:v>
                </c:pt>
                <c:pt idx="2">
                  <c:v>67.5</c:v>
                </c:pt>
                <c:pt idx="3">
                  <c:v>66.3</c:v>
                </c:pt>
                <c:pt idx="4">
                  <c:v>65.400000000000006</c:v>
                </c:pt>
                <c:pt idx="5">
                  <c:v>65</c:v>
                </c:pt>
                <c:pt idx="6">
                  <c:v>63.800000000000004</c:v>
                </c:pt>
                <c:pt idx="7">
                  <c:v>60.5</c:v>
                </c:pt>
                <c:pt idx="8">
                  <c:v>60.5</c:v>
                </c:pt>
                <c:pt idx="9">
                  <c:v>59.9</c:v>
                </c:pt>
                <c:pt idx="10">
                  <c:v>58.8</c:v>
                </c:pt>
                <c:pt idx="11">
                  <c:v>57.4</c:v>
                </c:pt>
                <c:pt idx="12">
                  <c:v>56.8</c:v>
                </c:pt>
                <c:pt idx="13">
                  <c:v>56.2</c:v>
                </c:pt>
                <c:pt idx="14">
                  <c:v>56.899999999999991</c:v>
                </c:pt>
                <c:pt idx="15">
                  <c:v>56.899999999999991</c:v>
                </c:pt>
                <c:pt idx="16">
                  <c:v>56.3</c:v>
                </c:pt>
                <c:pt idx="17">
                  <c:v>56.3</c:v>
                </c:pt>
                <c:pt idx="18">
                  <c:v>56.3</c:v>
                </c:pt>
                <c:pt idx="19">
                  <c:v>55.1</c:v>
                </c:pt>
                <c:pt idx="20">
                  <c:v>53.7</c:v>
                </c:pt>
                <c:pt idx="21">
                  <c:v>53.800000000000004</c:v>
                </c:pt>
                <c:pt idx="22">
                  <c:v>51.9</c:v>
                </c:pt>
                <c:pt idx="23">
                  <c:v>51.9</c:v>
                </c:pt>
                <c:pt idx="24">
                  <c:v>50</c:v>
                </c:pt>
                <c:pt idx="25">
                  <c:v>50.6</c:v>
                </c:pt>
                <c:pt idx="26">
                  <c:v>50</c:v>
                </c:pt>
                <c:pt idx="27">
                  <c:v>48.8</c:v>
                </c:pt>
                <c:pt idx="28">
                  <c:v>46.9</c:v>
                </c:pt>
                <c:pt idx="29">
                  <c:v>46.9</c:v>
                </c:pt>
                <c:pt idx="30">
                  <c:v>43.8</c:v>
                </c:pt>
                <c:pt idx="3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2-4427-A5A6-8558FE49B021}"/>
            </c:ext>
          </c:extLst>
        </c:ser>
        <c:ser>
          <c:idx val="1"/>
          <c:order val="1"/>
          <c:tx>
            <c:strRef>
              <c:f>'Regression Analysis'!$L$5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'Regression Analysis'!$J$6:$J$37</c:f>
              <c:numCache>
                <c:formatCode>General</c:formatCode>
                <c:ptCount val="32"/>
                <c:pt idx="0">
                  <c:v>50.5</c:v>
                </c:pt>
                <c:pt idx="1">
                  <c:v>37.099999999999994</c:v>
                </c:pt>
                <c:pt idx="2">
                  <c:v>11.400000000000006</c:v>
                </c:pt>
                <c:pt idx="3">
                  <c:v>-7.6999999999999886</c:v>
                </c:pt>
                <c:pt idx="4">
                  <c:v>-1.7000000000000171</c:v>
                </c:pt>
                <c:pt idx="5">
                  <c:v>19</c:v>
                </c:pt>
                <c:pt idx="6">
                  <c:v>-4.5999999999999943</c:v>
                </c:pt>
                <c:pt idx="7">
                  <c:v>-24.5</c:v>
                </c:pt>
                <c:pt idx="8">
                  <c:v>18.599999999999994</c:v>
                </c:pt>
                <c:pt idx="9">
                  <c:v>35.799999999999983</c:v>
                </c:pt>
                <c:pt idx="10">
                  <c:v>15.5</c:v>
                </c:pt>
                <c:pt idx="11">
                  <c:v>4.5</c:v>
                </c:pt>
                <c:pt idx="12">
                  <c:v>2.9000000000000057</c:v>
                </c:pt>
                <c:pt idx="13">
                  <c:v>-13.599999999999994</c:v>
                </c:pt>
                <c:pt idx="14">
                  <c:v>-1.9000000000000057</c:v>
                </c:pt>
                <c:pt idx="15">
                  <c:v>32.099999999999994</c:v>
                </c:pt>
                <c:pt idx="16">
                  <c:v>16.299999999999983</c:v>
                </c:pt>
                <c:pt idx="17">
                  <c:v>3.9000000000000057</c:v>
                </c:pt>
                <c:pt idx="18">
                  <c:v>24.800000000000011</c:v>
                </c:pt>
                <c:pt idx="19">
                  <c:v>6.5</c:v>
                </c:pt>
                <c:pt idx="20">
                  <c:v>-1.5</c:v>
                </c:pt>
                <c:pt idx="21">
                  <c:v>-14.599999999999994</c:v>
                </c:pt>
                <c:pt idx="22">
                  <c:v>-6.6999999999999886</c:v>
                </c:pt>
                <c:pt idx="23">
                  <c:v>-14.5</c:v>
                </c:pt>
                <c:pt idx="24">
                  <c:v>-4.5999999999999943</c:v>
                </c:pt>
                <c:pt idx="25">
                  <c:v>-2</c:v>
                </c:pt>
                <c:pt idx="26">
                  <c:v>-21.299999999999983</c:v>
                </c:pt>
                <c:pt idx="27">
                  <c:v>-33.800000000000011</c:v>
                </c:pt>
                <c:pt idx="28">
                  <c:v>-20.400000000000006</c:v>
                </c:pt>
                <c:pt idx="29">
                  <c:v>-7.5999999999999943</c:v>
                </c:pt>
                <c:pt idx="30">
                  <c:v>-58.900000000000006</c:v>
                </c:pt>
                <c:pt idx="31">
                  <c:v>-39.200000000000017</c:v>
                </c:pt>
              </c:numCache>
            </c:numRef>
          </c:xVal>
          <c:yVal>
            <c:numRef>
              <c:f>'Regression Analysis'!$L$6:$L$37</c:f>
              <c:numCache>
                <c:formatCode>General</c:formatCode>
                <c:ptCount val="32"/>
                <c:pt idx="0">
                  <c:v>68.413817939633063</c:v>
                </c:pt>
                <c:pt idx="1">
                  <c:v>65.193223253013414</c:v>
                </c:pt>
                <c:pt idx="2">
                  <c:v>59.016411055541433</c:v>
                </c:pt>
                <c:pt idx="3">
                  <c:v>54.425861912673142</c:v>
                </c:pt>
                <c:pt idx="4">
                  <c:v>55.867919235040141</c:v>
                </c:pt>
                <c:pt idx="5">
                  <c:v>60.843016997206298</c:v>
                </c:pt>
                <c:pt idx="6">
                  <c:v>55.170924862562757</c:v>
                </c:pt>
                <c:pt idx="7">
                  <c:v>50.388101410045536</c:v>
                </c:pt>
                <c:pt idx="8">
                  <c:v>60.74687984238183</c:v>
                </c:pt>
                <c:pt idx="9">
                  <c:v>64.880777499833897</c:v>
                </c:pt>
                <c:pt idx="10">
                  <c:v>60.001816892492215</c:v>
                </c:pt>
                <c:pt idx="11">
                  <c:v>57.358045134819378</c:v>
                </c:pt>
                <c:pt idx="12">
                  <c:v>56.973496515521511</c:v>
                </c:pt>
                <c:pt idx="13">
                  <c:v>53.007838879012255</c:v>
                </c:pt>
                <c:pt idx="14">
                  <c:v>55.81985065762791</c:v>
                </c:pt>
                <c:pt idx="15">
                  <c:v>63.991508817707583</c:v>
                </c:pt>
                <c:pt idx="16">
                  <c:v>60.194091202141145</c:v>
                </c:pt>
                <c:pt idx="17">
                  <c:v>57.213839402582678</c:v>
                </c:pt>
                <c:pt idx="18">
                  <c:v>62.237005742161074</c:v>
                </c:pt>
                <c:pt idx="19">
                  <c:v>57.838730908941713</c:v>
                </c:pt>
                <c:pt idx="20">
                  <c:v>55.915987812452379</c:v>
                </c:pt>
                <c:pt idx="21">
                  <c:v>52.767495991951094</c:v>
                </c:pt>
                <c:pt idx="22">
                  <c:v>54.666204799734309</c:v>
                </c:pt>
                <c:pt idx="23">
                  <c:v>52.791530280657206</c:v>
                </c:pt>
                <c:pt idx="24">
                  <c:v>55.170924862562757</c:v>
                </c:pt>
                <c:pt idx="25">
                  <c:v>55.795816368921791</c:v>
                </c:pt>
                <c:pt idx="26">
                  <c:v>51.157198648641277</c:v>
                </c:pt>
                <c:pt idx="27">
                  <c:v>48.152912560376677</c:v>
                </c:pt>
                <c:pt idx="28">
                  <c:v>51.373507246996319</c:v>
                </c:pt>
                <c:pt idx="29">
                  <c:v>54.449896201379261</c:v>
                </c:pt>
                <c:pt idx="30">
                  <c:v>42.120306095141387</c:v>
                </c:pt>
                <c:pt idx="31">
                  <c:v>46.855060970246377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2-4427-A5A6-8558FE49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20671"/>
        <c:axId val="1258921631"/>
      </c:scatterChart>
      <c:valAx>
        <c:axId val="125892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xGDiff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21631"/>
        <c:crosses val="autoZero"/>
        <c:crossBetween val="midCat"/>
      </c:valAx>
      <c:valAx>
        <c:axId val="12589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PTS%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2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PTS% vs Net Luck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'Regression Analysis'!$N$5</c:f>
              <c:strCache>
                <c:ptCount val="1"/>
                <c:pt idx="0">
                  <c:v>PTS%</c:v>
                </c:pt>
              </c:strCache>
            </c:strRef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'Regression Analysis'!$M$6:$M$37</c:f>
              <c:numCache>
                <c:formatCode>General</c:formatCode>
                <c:ptCount val="32"/>
                <c:pt idx="0">
                  <c:v>34.5</c:v>
                </c:pt>
                <c:pt idx="1">
                  <c:v>-15.099999999999994</c:v>
                </c:pt>
                <c:pt idx="2">
                  <c:v>19.599999999999994</c:v>
                </c:pt>
                <c:pt idx="3">
                  <c:v>39.699999999999989</c:v>
                </c:pt>
                <c:pt idx="4">
                  <c:v>25.700000000000017</c:v>
                </c:pt>
                <c:pt idx="5">
                  <c:v>25</c:v>
                </c:pt>
                <c:pt idx="6">
                  <c:v>15.599999999999994</c:v>
                </c:pt>
                <c:pt idx="7">
                  <c:v>52.5</c:v>
                </c:pt>
                <c:pt idx="8">
                  <c:v>9.4000000000000057</c:v>
                </c:pt>
                <c:pt idx="9">
                  <c:v>-18.799999999999983</c:v>
                </c:pt>
                <c:pt idx="10">
                  <c:v>-3.5</c:v>
                </c:pt>
                <c:pt idx="11">
                  <c:v>27.5</c:v>
                </c:pt>
                <c:pt idx="12">
                  <c:v>9.0999999999999943</c:v>
                </c:pt>
                <c:pt idx="13">
                  <c:v>1.5999999999999943</c:v>
                </c:pt>
                <c:pt idx="14">
                  <c:v>-18.099999999999994</c:v>
                </c:pt>
                <c:pt idx="15">
                  <c:v>-34.099999999999994</c:v>
                </c:pt>
                <c:pt idx="16">
                  <c:v>-32.299999999999983</c:v>
                </c:pt>
                <c:pt idx="17">
                  <c:v>-21.900000000000006</c:v>
                </c:pt>
                <c:pt idx="18">
                  <c:v>-2.8000000000000114</c:v>
                </c:pt>
                <c:pt idx="19">
                  <c:v>2.5</c:v>
                </c:pt>
                <c:pt idx="20">
                  <c:v>-41.5</c:v>
                </c:pt>
                <c:pt idx="21">
                  <c:v>-12.400000000000006</c:v>
                </c:pt>
                <c:pt idx="22">
                  <c:v>-2.3000000000000114</c:v>
                </c:pt>
                <c:pt idx="23">
                  <c:v>-12.5</c:v>
                </c:pt>
                <c:pt idx="24">
                  <c:v>-21.400000000000006</c:v>
                </c:pt>
                <c:pt idx="25">
                  <c:v>-13</c:v>
                </c:pt>
                <c:pt idx="26">
                  <c:v>20.299999999999983</c:v>
                </c:pt>
                <c:pt idx="27">
                  <c:v>-2.1999999999999886</c:v>
                </c:pt>
                <c:pt idx="28">
                  <c:v>-11.599999999999994</c:v>
                </c:pt>
                <c:pt idx="29">
                  <c:v>4.5999999999999943</c:v>
                </c:pt>
                <c:pt idx="30">
                  <c:v>12.900000000000006</c:v>
                </c:pt>
                <c:pt idx="31">
                  <c:v>-36.799999999999983</c:v>
                </c:pt>
              </c:numCache>
            </c:numRef>
          </c:xVal>
          <c:yVal>
            <c:numRef>
              <c:f>'Regression Analysis'!$N$6:$N$37</c:f>
              <c:numCache>
                <c:formatCode>General</c:formatCode>
                <c:ptCount val="32"/>
                <c:pt idx="0">
                  <c:v>72.8</c:v>
                </c:pt>
                <c:pt idx="1">
                  <c:v>68.8</c:v>
                </c:pt>
                <c:pt idx="2">
                  <c:v>67.5</c:v>
                </c:pt>
                <c:pt idx="3">
                  <c:v>66.3</c:v>
                </c:pt>
                <c:pt idx="4">
                  <c:v>65.400000000000006</c:v>
                </c:pt>
                <c:pt idx="5">
                  <c:v>65</c:v>
                </c:pt>
                <c:pt idx="6">
                  <c:v>63.800000000000004</c:v>
                </c:pt>
                <c:pt idx="7">
                  <c:v>60.5</c:v>
                </c:pt>
                <c:pt idx="8">
                  <c:v>60.5</c:v>
                </c:pt>
                <c:pt idx="9">
                  <c:v>59.9</c:v>
                </c:pt>
                <c:pt idx="10">
                  <c:v>58.8</c:v>
                </c:pt>
                <c:pt idx="11">
                  <c:v>57.4</c:v>
                </c:pt>
                <c:pt idx="12">
                  <c:v>56.8</c:v>
                </c:pt>
                <c:pt idx="13">
                  <c:v>56.2</c:v>
                </c:pt>
                <c:pt idx="14">
                  <c:v>56.899999999999991</c:v>
                </c:pt>
                <c:pt idx="15">
                  <c:v>56.899999999999991</c:v>
                </c:pt>
                <c:pt idx="16">
                  <c:v>56.3</c:v>
                </c:pt>
                <c:pt idx="17">
                  <c:v>56.3</c:v>
                </c:pt>
                <c:pt idx="18">
                  <c:v>56.3</c:v>
                </c:pt>
                <c:pt idx="19">
                  <c:v>55.1</c:v>
                </c:pt>
                <c:pt idx="20">
                  <c:v>53.7</c:v>
                </c:pt>
                <c:pt idx="21">
                  <c:v>53.800000000000004</c:v>
                </c:pt>
                <c:pt idx="22">
                  <c:v>51.9</c:v>
                </c:pt>
                <c:pt idx="23">
                  <c:v>51.9</c:v>
                </c:pt>
                <c:pt idx="24">
                  <c:v>50</c:v>
                </c:pt>
                <c:pt idx="25">
                  <c:v>50.6</c:v>
                </c:pt>
                <c:pt idx="26">
                  <c:v>50</c:v>
                </c:pt>
                <c:pt idx="27">
                  <c:v>48.8</c:v>
                </c:pt>
                <c:pt idx="28">
                  <c:v>46.9</c:v>
                </c:pt>
                <c:pt idx="29">
                  <c:v>46.9</c:v>
                </c:pt>
                <c:pt idx="30">
                  <c:v>43.8</c:v>
                </c:pt>
                <c:pt idx="3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5-4FE1-BC41-2B95CF346BF5}"/>
            </c:ext>
          </c:extLst>
        </c:ser>
        <c:ser>
          <c:idx val="1"/>
          <c:order val="1"/>
          <c:tx>
            <c:strRef>
              <c:f>'Regression Analysis'!$O$5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'Regression Analysis'!$M$6:$M$37</c:f>
              <c:numCache>
                <c:formatCode>General</c:formatCode>
                <c:ptCount val="32"/>
                <c:pt idx="0">
                  <c:v>34.5</c:v>
                </c:pt>
                <c:pt idx="1">
                  <c:v>-15.099999999999994</c:v>
                </c:pt>
                <c:pt idx="2">
                  <c:v>19.599999999999994</c:v>
                </c:pt>
                <c:pt idx="3">
                  <c:v>39.699999999999989</c:v>
                </c:pt>
                <c:pt idx="4">
                  <c:v>25.700000000000017</c:v>
                </c:pt>
                <c:pt idx="5">
                  <c:v>25</c:v>
                </c:pt>
                <c:pt idx="6">
                  <c:v>15.599999999999994</c:v>
                </c:pt>
                <c:pt idx="7">
                  <c:v>52.5</c:v>
                </c:pt>
                <c:pt idx="8">
                  <c:v>9.4000000000000057</c:v>
                </c:pt>
                <c:pt idx="9">
                  <c:v>-18.799999999999983</c:v>
                </c:pt>
                <c:pt idx="10">
                  <c:v>-3.5</c:v>
                </c:pt>
                <c:pt idx="11">
                  <c:v>27.5</c:v>
                </c:pt>
                <c:pt idx="12">
                  <c:v>9.0999999999999943</c:v>
                </c:pt>
                <c:pt idx="13">
                  <c:v>1.5999999999999943</c:v>
                </c:pt>
                <c:pt idx="14">
                  <c:v>-18.099999999999994</c:v>
                </c:pt>
                <c:pt idx="15">
                  <c:v>-34.099999999999994</c:v>
                </c:pt>
                <c:pt idx="16">
                  <c:v>-32.299999999999983</c:v>
                </c:pt>
                <c:pt idx="17">
                  <c:v>-21.900000000000006</c:v>
                </c:pt>
                <c:pt idx="18">
                  <c:v>-2.8000000000000114</c:v>
                </c:pt>
                <c:pt idx="19">
                  <c:v>2.5</c:v>
                </c:pt>
                <c:pt idx="20">
                  <c:v>-41.5</c:v>
                </c:pt>
                <c:pt idx="21">
                  <c:v>-12.400000000000006</c:v>
                </c:pt>
                <c:pt idx="22">
                  <c:v>-2.3000000000000114</c:v>
                </c:pt>
                <c:pt idx="23">
                  <c:v>-12.5</c:v>
                </c:pt>
                <c:pt idx="24">
                  <c:v>-21.400000000000006</c:v>
                </c:pt>
                <c:pt idx="25">
                  <c:v>-13</c:v>
                </c:pt>
                <c:pt idx="26">
                  <c:v>20.299999999999983</c:v>
                </c:pt>
                <c:pt idx="27">
                  <c:v>-2.1999999999999886</c:v>
                </c:pt>
                <c:pt idx="28">
                  <c:v>-11.599999999999994</c:v>
                </c:pt>
                <c:pt idx="29">
                  <c:v>4.5999999999999943</c:v>
                </c:pt>
                <c:pt idx="30">
                  <c:v>12.900000000000006</c:v>
                </c:pt>
                <c:pt idx="31">
                  <c:v>-36.799999999999983</c:v>
                </c:pt>
              </c:numCache>
            </c:numRef>
          </c:xVal>
          <c:yVal>
            <c:numRef>
              <c:f>'Regression Analysis'!$O$6:$O$37</c:f>
              <c:numCache>
                <c:formatCode>General</c:formatCode>
                <c:ptCount val="32"/>
                <c:pt idx="0">
                  <c:v>61.917775808308377</c:v>
                </c:pt>
                <c:pt idx="1">
                  <c:v>53.803793417524652</c:v>
                </c:pt>
                <c:pt idx="2">
                  <c:v>59.480309323980201</c:v>
                </c:pt>
                <c:pt idx="3">
                  <c:v>62.768435252503444</c:v>
                </c:pt>
                <c:pt idx="4">
                  <c:v>60.478198287362879</c:v>
                </c:pt>
                <c:pt idx="5">
                  <c:v>60.363686439105848</c:v>
                </c:pt>
                <c:pt idx="6">
                  <c:v>58.825955905368609</c:v>
                </c:pt>
                <c:pt idx="7">
                  <c:v>64.862366192060534</c:v>
                </c:pt>
                <c:pt idx="8">
                  <c:v>57.811708106520648</c:v>
                </c:pt>
                <c:pt idx="9">
                  <c:v>53.198516505308937</c:v>
                </c:pt>
                <c:pt idx="10">
                  <c:v>55.701418331498267</c:v>
                </c:pt>
                <c:pt idx="11">
                  <c:v>60.772657325738095</c:v>
                </c:pt>
                <c:pt idx="12">
                  <c:v>57.762631600124777</c:v>
                </c:pt>
                <c:pt idx="13">
                  <c:v>56.535718940228044</c:v>
                </c:pt>
                <c:pt idx="14">
                  <c:v>53.313028353565961</c:v>
                </c:pt>
                <c:pt idx="15">
                  <c:v>50.695614679119601</c:v>
                </c:pt>
                <c:pt idx="16">
                  <c:v>50.990073717494816</c:v>
                </c:pt>
                <c:pt idx="17">
                  <c:v>52.69139260588495</c:v>
                </c:pt>
                <c:pt idx="18">
                  <c:v>55.815930179755291</c:v>
                </c:pt>
                <c:pt idx="19">
                  <c:v>56.682948459415655</c:v>
                </c:pt>
                <c:pt idx="20">
                  <c:v>49.485060854688157</c:v>
                </c:pt>
                <c:pt idx="21">
                  <c:v>54.245481975087479</c:v>
                </c:pt>
                <c:pt idx="22">
                  <c:v>55.897724357081742</c:v>
                </c:pt>
                <c:pt idx="23">
                  <c:v>54.229123139622189</c:v>
                </c:pt>
                <c:pt idx="24">
                  <c:v>52.773186783211401</c:v>
                </c:pt>
                <c:pt idx="25">
                  <c:v>54.147328962295738</c:v>
                </c:pt>
                <c:pt idx="26">
                  <c:v>59.594821172237232</c:v>
                </c:pt>
                <c:pt idx="27">
                  <c:v>55.914083192547032</c:v>
                </c:pt>
                <c:pt idx="28">
                  <c:v>54.376352658809793</c:v>
                </c:pt>
                <c:pt idx="29">
                  <c:v>57.026484004186734</c:v>
                </c:pt>
                <c:pt idx="30">
                  <c:v>58.384267347805789</c:v>
                </c:pt>
                <c:pt idx="31">
                  <c:v>50.253926121556773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5-4FE1-BC41-2B95CF34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18143"/>
        <c:axId val="1270216223"/>
      </c:scatterChart>
      <c:valAx>
        <c:axId val="127021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Luck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16223"/>
        <c:crosses val="autoZero"/>
        <c:crossBetween val="midCat"/>
      </c:valAx>
      <c:valAx>
        <c:axId val="12702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PTS%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1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PTS% vs PyThagWin%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'Regression Analysis'!$Q$5</c:f>
              <c:strCache>
                <c:ptCount val="1"/>
                <c:pt idx="0">
                  <c:v>PTS%</c:v>
                </c:pt>
              </c:strCache>
            </c:strRef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'Regression Analysis'!$P$6:$P$37</c:f>
              <c:numCache>
                <c:formatCode>General</c:formatCode>
                <c:ptCount val="32"/>
                <c:pt idx="0">
                  <c:v>73.713926188386836</c:v>
                </c:pt>
                <c:pt idx="1">
                  <c:v>56.443609799800143</c:v>
                </c:pt>
                <c:pt idx="2">
                  <c:v>60.393698997567789</c:v>
                </c:pt>
                <c:pt idx="3">
                  <c:v>59.329126080395113</c:v>
                </c:pt>
                <c:pt idx="4">
                  <c:v>57.023825919294865</c:v>
                </c:pt>
                <c:pt idx="5">
                  <c:v>62.874460080813712</c:v>
                </c:pt>
                <c:pt idx="6">
                  <c:v>53.465858264586032</c:v>
                </c:pt>
                <c:pt idx="7">
                  <c:v>58.474826517053003</c:v>
                </c:pt>
                <c:pt idx="8">
                  <c:v>57.647058823529406</c:v>
                </c:pt>
                <c:pt idx="9">
                  <c:v>54.972977610019733</c:v>
                </c:pt>
                <c:pt idx="10">
                  <c:v>53.941227312013829</c:v>
                </c:pt>
                <c:pt idx="11">
                  <c:v>59.781132075471696</c:v>
                </c:pt>
                <c:pt idx="12">
                  <c:v>53.588182632050128</c:v>
                </c:pt>
                <c:pt idx="13">
                  <c:v>46.032753864342951</c:v>
                </c:pt>
                <c:pt idx="14">
                  <c:v>43.318685260750641</c:v>
                </c:pt>
                <c:pt idx="15">
                  <c:v>49.408304740564382</c:v>
                </c:pt>
                <c:pt idx="16">
                  <c:v>45.514678089958423</c:v>
                </c:pt>
                <c:pt idx="17">
                  <c:v>44.899700550600507</c:v>
                </c:pt>
                <c:pt idx="18">
                  <c:v>56.481416916533021</c:v>
                </c:pt>
                <c:pt idx="19">
                  <c:v>53.222453222453225</c:v>
                </c:pt>
                <c:pt idx="20">
                  <c:v>36.598927518451831</c:v>
                </c:pt>
                <c:pt idx="21">
                  <c:v>41.698871099773463</c:v>
                </c:pt>
                <c:pt idx="22">
                  <c:v>47.126976032636406</c:v>
                </c:pt>
                <c:pt idx="23">
                  <c:v>42.085603112840467</c:v>
                </c:pt>
                <c:pt idx="24">
                  <c:v>42.169818208366792</c:v>
                </c:pt>
                <c:pt idx="25">
                  <c:v>45.248868778280546</c:v>
                </c:pt>
                <c:pt idx="26">
                  <c:v>49.667777753250483</c:v>
                </c:pt>
                <c:pt idx="27">
                  <c:v>40.310122878876534</c:v>
                </c:pt>
                <c:pt idx="28">
                  <c:v>39.913671953423005</c:v>
                </c:pt>
                <c:pt idx="29">
                  <c:v>48.996756514931214</c:v>
                </c:pt>
                <c:pt idx="30">
                  <c:v>36.638019938123065</c:v>
                </c:pt>
                <c:pt idx="31">
                  <c:v>28.248275862068965</c:v>
                </c:pt>
              </c:numCache>
            </c:numRef>
          </c:xVal>
          <c:yVal>
            <c:numRef>
              <c:f>'Regression Analysis'!$Q$6:$Q$37</c:f>
              <c:numCache>
                <c:formatCode>General</c:formatCode>
                <c:ptCount val="32"/>
                <c:pt idx="0">
                  <c:v>72.8</c:v>
                </c:pt>
                <c:pt idx="1">
                  <c:v>68.8</c:v>
                </c:pt>
                <c:pt idx="2">
                  <c:v>67.5</c:v>
                </c:pt>
                <c:pt idx="3">
                  <c:v>66.3</c:v>
                </c:pt>
                <c:pt idx="4">
                  <c:v>65.400000000000006</c:v>
                </c:pt>
                <c:pt idx="5">
                  <c:v>65</c:v>
                </c:pt>
                <c:pt idx="6">
                  <c:v>63.800000000000004</c:v>
                </c:pt>
                <c:pt idx="7">
                  <c:v>60.5</c:v>
                </c:pt>
                <c:pt idx="8">
                  <c:v>60.5</c:v>
                </c:pt>
                <c:pt idx="9">
                  <c:v>59.9</c:v>
                </c:pt>
                <c:pt idx="10">
                  <c:v>58.8</c:v>
                </c:pt>
                <c:pt idx="11">
                  <c:v>57.4</c:v>
                </c:pt>
                <c:pt idx="12">
                  <c:v>56.8</c:v>
                </c:pt>
                <c:pt idx="13">
                  <c:v>56.2</c:v>
                </c:pt>
                <c:pt idx="14">
                  <c:v>56.899999999999991</c:v>
                </c:pt>
                <c:pt idx="15">
                  <c:v>56.899999999999991</c:v>
                </c:pt>
                <c:pt idx="16">
                  <c:v>56.3</c:v>
                </c:pt>
                <c:pt idx="17">
                  <c:v>56.3</c:v>
                </c:pt>
                <c:pt idx="18">
                  <c:v>56.3</c:v>
                </c:pt>
                <c:pt idx="19">
                  <c:v>55.1</c:v>
                </c:pt>
                <c:pt idx="20">
                  <c:v>53.7</c:v>
                </c:pt>
                <c:pt idx="21">
                  <c:v>53.800000000000004</c:v>
                </c:pt>
                <c:pt idx="22">
                  <c:v>51.9</c:v>
                </c:pt>
                <c:pt idx="23">
                  <c:v>51.9</c:v>
                </c:pt>
                <c:pt idx="24">
                  <c:v>50</c:v>
                </c:pt>
                <c:pt idx="25">
                  <c:v>50.6</c:v>
                </c:pt>
                <c:pt idx="26">
                  <c:v>50</c:v>
                </c:pt>
                <c:pt idx="27">
                  <c:v>48.8</c:v>
                </c:pt>
                <c:pt idx="28">
                  <c:v>46.9</c:v>
                </c:pt>
                <c:pt idx="29">
                  <c:v>46.9</c:v>
                </c:pt>
                <c:pt idx="30">
                  <c:v>43.8</c:v>
                </c:pt>
                <c:pt idx="3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D-431A-B9FB-727E0BA9136C}"/>
            </c:ext>
          </c:extLst>
        </c:ser>
        <c:ser>
          <c:idx val="1"/>
          <c:order val="1"/>
          <c:tx>
            <c:strRef>
              <c:f>'Regression Analysis'!$R$5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'Regression Analysis'!$P$6:$P$37</c:f>
              <c:numCache>
                <c:formatCode>General</c:formatCode>
                <c:ptCount val="32"/>
                <c:pt idx="0">
                  <c:v>73.713926188386836</c:v>
                </c:pt>
                <c:pt idx="1">
                  <c:v>56.443609799800143</c:v>
                </c:pt>
                <c:pt idx="2">
                  <c:v>60.393698997567789</c:v>
                </c:pt>
                <c:pt idx="3">
                  <c:v>59.329126080395113</c:v>
                </c:pt>
                <c:pt idx="4">
                  <c:v>57.023825919294865</c:v>
                </c:pt>
                <c:pt idx="5">
                  <c:v>62.874460080813712</c:v>
                </c:pt>
                <c:pt idx="6">
                  <c:v>53.465858264586032</c:v>
                </c:pt>
                <c:pt idx="7">
                  <c:v>58.474826517053003</c:v>
                </c:pt>
                <c:pt idx="8">
                  <c:v>57.647058823529406</c:v>
                </c:pt>
                <c:pt idx="9">
                  <c:v>54.972977610019733</c:v>
                </c:pt>
                <c:pt idx="10">
                  <c:v>53.941227312013829</c:v>
                </c:pt>
                <c:pt idx="11">
                  <c:v>59.781132075471696</c:v>
                </c:pt>
                <c:pt idx="12">
                  <c:v>53.588182632050128</c:v>
                </c:pt>
                <c:pt idx="13">
                  <c:v>46.032753864342951</c:v>
                </c:pt>
                <c:pt idx="14">
                  <c:v>43.318685260750641</c:v>
                </c:pt>
                <c:pt idx="15">
                  <c:v>49.408304740564382</c:v>
                </c:pt>
                <c:pt idx="16">
                  <c:v>45.514678089958423</c:v>
                </c:pt>
                <c:pt idx="17">
                  <c:v>44.899700550600507</c:v>
                </c:pt>
                <c:pt idx="18">
                  <c:v>56.481416916533021</c:v>
                </c:pt>
                <c:pt idx="19">
                  <c:v>53.222453222453225</c:v>
                </c:pt>
                <c:pt idx="20">
                  <c:v>36.598927518451831</c:v>
                </c:pt>
                <c:pt idx="21">
                  <c:v>41.698871099773463</c:v>
                </c:pt>
                <c:pt idx="22">
                  <c:v>47.126976032636406</c:v>
                </c:pt>
                <c:pt idx="23">
                  <c:v>42.085603112840467</c:v>
                </c:pt>
                <c:pt idx="24">
                  <c:v>42.169818208366792</c:v>
                </c:pt>
                <c:pt idx="25">
                  <c:v>45.248868778280546</c:v>
                </c:pt>
                <c:pt idx="26">
                  <c:v>49.667777753250483</c:v>
                </c:pt>
                <c:pt idx="27">
                  <c:v>40.310122878876534</c:v>
                </c:pt>
                <c:pt idx="28">
                  <c:v>39.913671953423005</c:v>
                </c:pt>
                <c:pt idx="29">
                  <c:v>48.996756514931214</c:v>
                </c:pt>
                <c:pt idx="30">
                  <c:v>36.638019938123065</c:v>
                </c:pt>
                <c:pt idx="31">
                  <c:v>28.248275862068965</c:v>
                </c:pt>
              </c:numCache>
            </c:numRef>
          </c:xVal>
          <c:yVal>
            <c:numRef>
              <c:f>'Regression Analysis'!$R$6:$R$37</c:f>
              <c:numCache>
                <c:formatCode>General</c:formatCode>
                <c:ptCount val="32"/>
                <c:pt idx="0">
                  <c:v>73.513638321099606</c:v>
                </c:pt>
                <c:pt idx="1">
                  <c:v>60.971827554772737</c:v>
                </c:pt>
                <c:pt idx="2">
                  <c:v>63.840406804499381</c:v>
                </c:pt>
                <c:pt idx="3">
                  <c:v>63.067307356074686</c:v>
                </c:pt>
                <c:pt idx="4">
                  <c:v>61.393184095703532</c:v>
                </c:pt>
                <c:pt idx="5">
                  <c:v>65.641950873668833</c:v>
                </c:pt>
                <c:pt idx="6">
                  <c:v>58.809365940087119</c:v>
                </c:pt>
                <c:pt idx="7">
                  <c:v>62.446909720031776</c:v>
                </c:pt>
                <c:pt idx="8">
                  <c:v>61.845779692239539</c:v>
                </c:pt>
                <c:pt idx="9">
                  <c:v>59.903845346682793</c:v>
                </c:pt>
                <c:pt idx="10">
                  <c:v>59.15458188766226</c:v>
                </c:pt>
                <c:pt idx="11">
                  <c:v>63.395556910277541</c:v>
                </c:pt>
                <c:pt idx="12">
                  <c:v>58.898198653647547</c:v>
                </c:pt>
                <c:pt idx="13">
                  <c:v>53.411399469952912</c:v>
                </c:pt>
                <c:pt idx="14">
                  <c:v>51.44042603396079</c:v>
                </c:pt>
                <c:pt idx="15">
                  <c:v>55.862745430797958</c:v>
                </c:pt>
                <c:pt idx="16">
                  <c:v>53.035169632655716</c:v>
                </c:pt>
                <c:pt idx="17">
                  <c:v>52.58856913324243</c:v>
                </c:pt>
                <c:pt idx="18">
                  <c:v>60.999283317192791</c:v>
                </c:pt>
                <c:pt idx="19">
                  <c:v>58.632603690380051</c:v>
                </c:pt>
                <c:pt idx="20">
                  <c:v>46.560496326641257</c:v>
                </c:pt>
                <c:pt idx="21">
                  <c:v>50.264106954073057</c:v>
                </c:pt>
                <c:pt idx="22">
                  <c:v>54.206030388244933</c:v>
                </c:pt>
                <c:pt idx="23">
                  <c:v>50.544954138110313</c:v>
                </c:pt>
                <c:pt idx="24">
                  <c:v>50.606111662268773</c:v>
                </c:pt>
                <c:pt idx="25">
                  <c:v>52.842137263590686</c:v>
                </c:pt>
                <c:pt idx="26">
                  <c:v>56.051176340276164</c:v>
                </c:pt>
                <c:pt idx="27">
                  <c:v>49.255589391530144</c:v>
                </c:pt>
                <c:pt idx="28">
                  <c:v>48.96768427310051</c:v>
                </c:pt>
                <c:pt idx="29">
                  <c:v>55.5638765594367</c:v>
                </c:pt>
                <c:pt idx="30">
                  <c:v>46.588885484018732</c:v>
                </c:pt>
                <c:pt idx="31">
                  <c:v>40.496201354078877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D-431A-B9FB-727E0BA9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62287"/>
        <c:axId val="1348653167"/>
      </c:scatterChart>
      <c:valAx>
        <c:axId val="134866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PyThagWin%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53167"/>
        <c:crosses val="autoZero"/>
        <c:crossBetween val="midCat"/>
      </c:valAx>
      <c:valAx>
        <c:axId val="13486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PTS%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6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PTS% vs XPythagWin%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'Regression Analysis'!$T$5</c:f>
              <c:strCache>
                <c:ptCount val="1"/>
                <c:pt idx="0">
                  <c:v>PTS%</c:v>
                </c:pt>
              </c:strCache>
            </c:strRef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'Regression Analysis'!$S$6:$S$37</c:f>
              <c:numCache>
                <c:formatCode>0.00</c:formatCode>
                <c:ptCount val="32"/>
                <c:pt idx="0">
                  <c:v>63.946969540153766</c:v>
                </c:pt>
                <c:pt idx="1">
                  <c:v>60.317891709780135</c:v>
                </c:pt>
                <c:pt idx="2">
                  <c:v>53.60974195418963</c:v>
                </c:pt>
                <c:pt idx="3">
                  <c:v>47.811682994190491</c:v>
                </c:pt>
                <c:pt idx="4">
                  <c:v>49.492701805691972</c:v>
                </c:pt>
                <c:pt idx="5">
                  <c:v>55.577359192512077</c:v>
                </c:pt>
                <c:pt idx="6">
                  <c:v>48.677632122724944</c:v>
                </c:pt>
                <c:pt idx="7">
                  <c:v>42.688769919797032</c:v>
                </c:pt>
                <c:pt idx="8">
                  <c:v>54.990200691002819</c:v>
                </c:pt>
                <c:pt idx="9">
                  <c:v>60.902973234319404</c:v>
                </c:pt>
                <c:pt idx="10">
                  <c:v>55.080476102971666</c:v>
                </c:pt>
                <c:pt idx="11">
                  <c:v>51.311345390514141</c:v>
                </c:pt>
                <c:pt idx="12">
                  <c:v>50.81022900555984</c:v>
                </c:pt>
                <c:pt idx="13">
                  <c:v>46.102379977809868</c:v>
                </c:pt>
                <c:pt idx="14">
                  <c:v>49.431326383126859</c:v>
                </c:pt>
                <c:pt idx="15">
                  <c:v>59.904014355926435</c:v>
                </c:pt>
                <c:pt idx="16">
                  <c:v>54.557599184602715</c:v>
                </c:pt>
                <c:pt idx="17">
                  <c:v>51.095681860485975</c:v>
                </c:pt>
                <c:pt idx="18">
                  <c:v>57.428429549732648</c:v>
                </c:pt>
                <c:pt idx="19">
                  <c:v>52.056742390899544</c:v>
                </c:pt>
                <c:pt idx="20">
                  <c:v>49.580895878095156</c:v>
                </c:pt>
                <c:pt idx="21">
                  <c:v>45.930824989651455</c:v>
                </c:pt>
                <c:pt idx="22">
                  <c:v>47.915627809754938</c:v>
                </c:pt>
                <c:pt idx="23">
                  <c:v>45.665556485232784</c:v>
                </c:pt>
                <c:pt idx="24">
                  <c:v>48.585768821341659</c:v>
                </c:pt>
                <c:pt idx="25">
                  <c:v>49.375024413108868</c:v>
                </c:pt>
                <c:pt idx="26">
                  <c:v>43.411883739633517</c:v>
                </c:pt>
                <c:pt idx="27">
                  <c:v>40.464178976426503</c:v>
                </c:pt>
                <c:pt idx="28">
                  <c:v>44.177945157114273</c:v>
                </c:pt>
                <c:pt idx="29">
                  <c:v>47.568660477583968</c:v>
                </c:pt>
                <c:pt idx="30">
                  <c:v>33.397433748230597</c:v>
                </c:pt>
                <c:pt idx="31">
                  <c:v>38.926410508351864</c:v>
                </c:pt>
              </c:numCache>
            </c:numRef>
          </c:xVal>
          <c:yVal>
            <c:numRef>
              <c:f>'Regression Analysis'!$T$6:$T$37</c:f>
              <c:numCache>
                <c:formatCode>General</c:formatCode>
                <c:ptCount val="32"/>
                <c:pt idx="0">
                  <c:v>72.8</c:v>
                </c:pt>
                <c:pt idx="1">
                  <c:v>68.8</c:v>
                </c:pt>
                <c:pt idx="2">
                  <c:v>67.5</c:v>
                </c:pt>
                <c:pt idx="3">
                  <c:v>66.3</c:v>
                </c:pt>
                <c:pt idx="4">
                  <c:v>65.400000000000006</c:v>
                </c:pt>
                <c:pt idx="5">
                  <c:v>65</c:v>
                </c:pt>
                <c:pt idx="6">
                  <c:v>63.800000000000004</c:v>
                </c:pt>
                <c:pt idx="7">
                  <c:v>60.5</c:v>
                </c:pt>
                <c:pt idx="8">
                  <c:v>60.5</c:v>
                </c:pt>
                <c:pt idx="9">
                  <c:v>59.9</c:v>
                </c:pt>
                <c:pt idx="10">
                  <c:v>58.8</c:v>
                </c:pt>
                <c:pt idx="11">
                  <c:v>57.4</c:v>
                </c:pt>
                <c:pt idx="12">
                  <c:v>56.8</c:v>
                </c:pt>
                <c:pt idx="13">
                  <c:v>56.2</c:v>
                </c:pt>
                <c:pt idx="14">
                  <c:v>56.899999999999991</c:v>
                </c:pt>
                <c:pt idx="15">
                  <c:v>56.899999999999991</c:v>
                </c:pt>
                <c:pt idx="16">
                  <c:v>56.3</c:v>
                </c:pt>
                <c:pt idx="17">
                  <c:v>56.3</c:v>
                </c:pt>
                <c:pt idx="18">
                  <c:v>56.3</c:v>
                </c:pt>
                <c:pt idx="19">
                  <c:v>55.1</c:v>
                </c:pt>
                <c:pt idx="20">
                  <c:v>53.7</c:v>
                </c:pt>
                <c:pt idx="21">
                  <c:v>53.800000000000004</c:v>
                </c:pt>
                <c:pt idx="22">
                  <c:v>51.9</c:v>
                </c:pt>
                <c:pt idx="23">
                  <c:v>51.9</c:v>
                </c:pt>
                <c:pt idx="24">
                  <c:v>50</c:v>
                </c:pt>
                <c:pt idx="25">
                  <c:v>50.6</c:v>
                </c:pt>
                <c:pt idx="26">
                  <c:v>50</c:v>
                </c:pt>
                <c:pt idx="27">
                  <c:v>48.8</c:v>
                </c:pt>
                <c:pt idx="28">
                  <c:v>46.9</c:v>
                </c:pt>
                <c:pt idx="29">
                  <c:v>46.9</c:v>
                </c:pt>
                <c:pt idx="30">
                  <c:v>43.8</c:v>
                </c:pt>
                <c:pt idx="3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5-4640-9174-071F38F2866D}"/>
            </c:ext>
          </c:extLst>
        </c:ser>
        <c:ser>
          <c:idx val="1"/>
          <c:order val="1"/>
          <c:tx>
            <c:strRef>
              <c:f>'Regression Analysis'!$U$5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'Regression Analysis'!$S$6:$S$37</c:f>
              <c:numCache>
                <c:formatCode>0.00</c:formatCode>
                <c:ptCount val="32"/>
                <c:pt idx="0">
                  <c:v>63.946969540153766</c:v>
                </c:pt>
                <c:pt idx="1">
                  <c:v>60.317891709780135</c:v>
                </c:pt>
                <c:pt idx="2">
                  <c:v>53.60974195418963</c:v>
                </c:pt>
                <c:pt idx="3">
                  <c:v>47.811682994190491</c:v>
                </c:pt>
                <c:pt idx="4">
                  <c:v>49.492701805691972</c:v>
                </c:pt>
                <c:pt idx="5">
                  <c:v>55.577359192512077</c:v>
                </c:pt>
                <c:pt idx="6">
                  <c:v>48.677632122724944</c:v>
                </c:pt>
                <c:pt idx="7">
                  <c:v>42.688769919797032</c:v>
                </c:pt>
                <c:pt idx="8">
                  <c:v>54.990200691002819</c:v>
                </c:pt>
                <c:pt idx="9">
                  <c:v>60.902973234319404</c:v>
                </c:pt>
                <c:pt idx="10">
                  <c:v>55.080476102971666</c:v>
                </c:pt>
                <c:pt idx="11">
                  <c:v>51.311345390514141</c:v>
                </c:pt>
                <c:pt idx="12">
                  <c:v>50.81022900555984</c:v>
                </c:pt>
                <c:pt idx="13">
                  <c:v>46.102379977809868</c:v>
                </c:pt>
                <c:pt idx="14">
                  <c:v>49.431326383126859</c:v>
                </c:pt>
                <c:pt idx="15">
                  <c:v>59.904014355926435</c:v>
                </c:pt>
                <c:pt idx="16">
                  <c:v>54.557599184602715</c:v>
                </c:pt>
                <c:pt idx="17">
                  <c:v>51.095681860485975</c:v>
                </c:pt>
                <c:pt idx="18">
                  <c:v>57.428429549732648</c:v>
                </c:pt>
                <c:pt idx="19">
                  <c:v>52.056742390899544</c:v>
                </c:pt>
                <c:pt idx="20">
                  <c:v>49.580895878095156</c:v>
                </c:pt>
                <c:pt idx="21">
                  <c:v>45.930824989651455</c:v>
                </c:pt>
                <c:pt idx="22">
                  <c:v>47.915627809754938</c:v>
                </c:pt>
                <c:pt idx="23">
                  <c:v>45.665556485232784</c:v>
                </c:pt>
                <c:pt idx="24">
                  <c:v>48.585768821341659</c:v>
                </c:pt>
                <c:pt idx="25">
                  <c:v>49.375024413108868</c:v>
                </c:pt>
                <c:pt idx="26">
                  <c:v>43.411883739633517</c:v>
                </c:pt>
                <c:pt idx="27">
                  <c:v>40.464178976426503</c:v>
                </c:pt>
                <c:pt idx="28">
                  <c:v>44.177945157114273</c:v>
                </c:pt>
                <c:pt idx="29">
                  <c:v>47.568660477583968</c:v>
                </c:pt>
                <c:pt idx="30">
                  <c:v>33.397433748230597</c:v>
                </c:pt>
                <c:pt idx="31">
                  <c:v>38.926410508351864</c:v>
                </c:pt>
              </c:numCache>
            </c:numRef>
          </c:xVal>
          <c:yVal>
            <c:numRef>
              <c:f>'Regression Analysis'!$U$6:$U$37</c:f>
              <c:numCache>
                <c:formatCode>General</c:formatCode>
                <c:ptCount val="32"/>
                <c:pt idx="0">
                  <c:v>67.770448053589462</c:v>
                </c:pt>
                <c:pt idx="1">
                  <c:v>64.773936153935949</c:v>
                </c:pt>
                <c:pt idx="2">
                  <c:v>59.235049553310112</c:v>
                </c:pt>
                <c:pt idx="3">
                  <c:v>54.447620492649435</c:v>
                </c:pt>
                <c:pt idx="4">
                  <c:v>55.835629542785178</c:v>
                </c:pt>
                <c:pt idx="5">
                  <c:v>60.859701529426474</c:v>
                </c:pt>
                <c:pt idx="6">
                  <c:v>55.162630472989512</c:v>
                </c:pt>
                <c:pt idx="7">
                  <c:v>50.217656103395719</c:v>
                </c:pt>
                <c:pt idx="8">
                  <c:v>60.37488761278086</c:v>
                </c:pt>
                <c:pt idx="9">
                  <c:v>65.25703512080733</c:v>
                </c:pt>
                <c:pt idx="10">
                  <c:v>60.449427581019272</c:v>
                </c:pt>
                <c:pt idx="11">
                  <c:v>57.337274698349972</c:v>
                </c:pt>
                <c:pt idx="12">
                  <c:v>56.923505338525494</c:v>
                </c:pt>
                <c:pt idx="13">
                  <c:v>53.036257312221068</c:v>
                </c:pt>
                <c:pt idx="14">
                  <c:v>55.784952155123946</c:v>
                </c:pt>
                <c:pt idx="15">
                  <c:v>64.432199637446843</c:v>
                </c:pt>
                <c:pt idx="16">
                  <c:v>60.017690654675803</c:v>
                </c:pt>
                <c:pt idx="17">
                  <c:v>57.159202371368728</c:v>
                </c:pt>
                <c:pt idx="18">
                  <c:v>62.388121313120195</c:v>
                </c:pt>
                <c:pt idx="19">
                  <c:v>57.952745373276485</c:v>
                </c:pt>
                <c:pt idx="20">
                  <c:v>55.908450959075346</c:v>
                </c:pt>
                <c:pt idx="21">
                  <c:v>52.894605193559102</c:v>
                </c:pt>
                <c:pt idx="22">
                  <c:v>54.533447220899589</c:v>
                </c:pt>
                <c:pt idx="23">
                  <c:v>52.675574280680607</c:v>
                </c:pt>
                <c:pt idx="24">
                  <c:v>55.086779392190806</c:v>
                </c:pt>
                <c:pt idx="25">
                  <c:v>55.738463892535357</c:v>
                </c:pt>
                <c:pt idx="26">
                  <c:v>50.814727664608512</c:v>
                </c:pt>
                <c:pt idx="27">
                  <c:v>48.38082218986542</c:v>
                </c:pt>
                <c:pt idx="28">
                  <c:v>51.447260848144616</c:v>
                </c:pt>
                <c:pt idx="29">
                  <c:v>54.246957983622941</c:v>
                </c:pt>
                <c:pt idx="30">
                  <c:v>42.545845053007312</c:v>
                </c:pt>
                <c:pt idx="31">
                  <c:v>47.111094251012368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85-4640-9174-071F38F28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087935"/>
        <c:axId val="1262086015"/>
      </c:scatterChart>
      <c:valAx>
        <c:axId val="126208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XPythagWin%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86015"/>
        <c:crosses val="autoZero"/>
        <c:crossBetween val="midCat"/>
      </c:valAx>
      <c:valAx>
        <c:axId val="12620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PTS%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8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Luck vs PDO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'PDO vs Net Luck'!$C$16</c:f>
              <c:strCache>
                <c:ptCount val="1"/>
                <c:pt idx="0">
                  <c:v>Net Luck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'PDO vs Net Luck'!$B$17:$B$48</c:f>
              <c:numCache>
                <c:formatCode>General</c:formatCode>
                <c:ptCount val="32"/>
                <c:pt idx="0">
                  <c:v>101.7</c:v>
                </c:pt>
                <c:pt idx="1">
                  <c:v>98.4</c:v>
                </c:pt>
                <c:pt idx="2">
                  <c:v>102.1</c:v>
                </c:pt>
                <c:pt idx="3">
                  <c:v>101.5</c:v>
                </c:pt>
                <c:pt idx="4">
                  <c:v>101.6</c:v>
                </c:pt>
                <c:pt idx="5">
                  <c:v>101.7</c:v>
                </c:pt>
                <c:pt idx="6">
                  <c:v>100.7</c:v>
                </c:pt>
                <c:pt idx="7">
                  <c:v>101.7</c:v>
                </c:pt>
                <c:pt idx="8">
                  <c:v>101</c:v>
                </c:pt>
                <c:pt idx="9">
                  <c:v>99.5</c:v>
                </c:pt>
                <c:pt idx="10">
                  <c:v>100.6</c:v>
                </c:pt>
                <c:pt idx="11">
                  <c:v>101.5</c:v>
                </c:pt>
                <c:pt idx="12">
                  <c:v>100.3</c:v>
                </c:pt>
                <c:pt idx="13">
                  <c:v>99.5</c:v>
                </c:pt>
                <c:pt idx="14">
                  <c:v>99.1</c:v>
                </c:pt>
                <c:pt idx="15">
                  <c:v>98.3</c:v>
                </c:pt>
                <c:pt idx="16">
                  <c:v>98.4</c:v>
                </c:pt>
                <c:pt idx="17">
                  <c:v>98.6</c:v>
                </c:pt>
                <c:pt idx="18">
                  <c:v>100.3</c:v>
                </c:pt>
                <c:pt idx="19">
                  <c:v>100.1</c:v>
                </c:pt>
                <c:pt idx="20">
                  <c:v>97.6</c:v>
                </c:pt>
                <c:pt idx="21">
                  <c:v>99.4</c:v>
                </c:pt>
                <c:pt idx="22">
                  <c:v>100.1</c:v>
                </c:pt>
                <c:pt idx="23">
                  <c:v>99.9</c:v>
                </c:pt>
                <c:pt idx="24">
                  <c:v>98.7</c:v>
                </c:pt>
                <c:pt idx="25">
                  <c:v>99.7</c:v>
                </c:pt>
                <c:pt idx="26">
                  <c:v>101.2</c:v>
                </c:pt>
                <c:pt idx="27">
                  <c:v>100.1</c:v>
                </c:pt>
                <c:pt idx="28">
                  <c:v>98.6</c:v>
                </c:pt>
                <c:pt idx="29">
                  <c:v>100.8</c:v>
                </c:pt>
                <c:pt idx="30">
                  <c:v>99.6</c:v>
                </c:pt>
                <c:pt idx="31">
                  <c:v>97.8</c:v>
                </c:pt>
              </c:numCache>
            </c:numRef>
          </c:xVal>
          <c:yVal>
            <c:numRef>
              <c:f>'PDO vs Net Luck'!$C$17:$C$48</c:f>
              <c:numCache>
                <c:formatCode>General</c:formatCode>
                <c:ptCount val="32"/>
                <c:pt idx="0">
                  <c:v>34.5</c:v>
                </c:pt>
                <c:pt idx="1">
                  <c:v>-15.099999999999994</c:v>
                </c:pt>
                <c:pt idx="2">
                  <c:v>19.599999999999994</c:v>
                </c:pt>
                <c:pt idx="3">
                  <c:v>39.699999999999989</c:v>
                </c:pt>
                <c:pt idx="4">
                  <c:v>25.700000000000017</c:v>
                </c:pt>
                <c:pt idx="5">
                  <c:v>25</c:v>
                </c:pt>
                <c:pt idx="6">
                  <c:v>15.599999999999994</c:v>
                </c:pt>
                <c:pt idx="7">
                  <c:v>52.5</c:v>
                </c:pt>
                <c:pt idx="8">
                  <c:v>9.4000000000000057</c:v>
                </c:pt>
                <c:pt idx="9">
                  <c:v>-18.799999999999983</c:v>
                </c:pt>
                <c:pt idx="10">
                  <c:v>-3.5</c:v>
                </c:pt>
                <c:pt idx="11">
                  <c:v>27.5</c:v>
                </c:pt>
                <c:pt idx="12">
                  <c:v>9.0999999999999943</c:v>
                </c:pt>
                <c:pt idx="13">
                  <c:v>1.5999999999999943</c:v>
                </c:pt>
                <c:pt idx="14">
                  <c:v>-18.099999999999994</c:v>
                </c:pt>
                <c:pt idx="15">
                  <c:v>-34.099999999999994</c:v>
                </c:pt>
                <c:pt idx="16">
                  <c:v>-32.299999999999983</c:v>
                </c:pt>
                <c:pt idx="17">
                  <c:v>-21.900000000000006</c:v>
                </c:pt>
                <c:pt idx="18">
                  <c:v>-2.8000000000000114</c:v>
                </c:pt>
                <c:pt idx="19">
                  <c:v>2.5</c:v>
                </c:pt>
                <c:pt idx="20">
                  <c:v>-41.5</c:v>
                </c:pt>
                <c:pt idx="21">
                  <c:v>-12.400000000000006</c:v>
                </c:pt>
                <c:pt idx="22">
                  <c:v>-2.3000000000000114</c:v>
                </c:pt>
                <c:pt idx="23">
                  <c:v>-12.5</c:v>
                </c:pt>
                <c:pt idx="24">
                  <c:v>-21.400000000000006</c:v>
                </c:pt>
                <c:pt idx="25">
                  <c:v>-13</c:v>
                </c:pt>
                <c:pt idx="26">
                  <c:v>20.299999999999983</c:v>
                </c:pt>
                <c:pt idx="27">
                  <c:v>-2.1999999999999886</c:v>
                </c:pt>
                <c:pt idx="28">
                  <c:v>-11.599999999999994</c:v>
                </c:pt>
                <c:pt idx="29">
                  <c:v>4.5999999999999943</c:v>
                </c:pt>
                <c:pt idx="30">
                  <c:v>12.900000000000006</c:v>
                </c:pt>
                <c:pt idx="31">
                  <c:v>-36.799999999999983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7-444B-8166-532344E8E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079183"/>
        <c:axId val="1456085423"/>
      </c:scatterChart>
      <c:valAx>
        <c:axId val="145607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Luck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85423"/>
        <c:crosses val="autoZero"/>
        <c:crossBetween val="midCat"/>
      </c:valAx>
      <c:valAx>
        <c:axId val="145608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7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Classification: Quality vs Luck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Teams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BFBFBF"/>
              </a:solidFill>
              <a:ln w="9525">
                <a:solidFill>
                  <a:srgbClr val="BFBFBF"/>
                </a:solidFill>
                <a:prstDash val="solid"/>
              </a:ln>
              <a:effectLst/>
            </c:spPr>
          </c:marker>
          <c:xVal>
            <c:numRef>
              <c:f>'Step 1 Regressions'!$CB$47:$CB$78</c:f>
              <c:numCache>
                <c:formatCode>General</c:formatCode>
                <c:ptCount val="32"/>
                <c:pt idx="0">
                  <c:v>50.5</c:v>
                </c:pt>
                <c:pt idx="1">
                  <c:v>37.1</c:v>
                </c:pt>
                <c:pt idx="2">
                  <c:v>11.4</c:v>
                </c:pt>
                <c:pt idx="3">
                  <c:v>-7.6999999999999904</c:v>
                </c:pt>
                <c:pt idx="4">
                  <c:v>-1.7000000000000199</c:v>
                </c:pt>
                <c:pt idx="5">
                  <c:v>19</c:v>
                </c:pt>
                <c:pt idx="6">
                  <c:v>-4.5999999999999899</c:v>
                </c:pt>
                <c:pt idx="7">
                  <c:v>-24.5</c:v>
                </c:pt>
                <c:pt idx="8">
                  <c:v>18.600000000000001</c:v>
                </c:pt>
                <c:pt idx="9">
                  <c:v>35.799999999999997</c:v>
                </c:pt>
                <c:pt idx="10">
                  <c:v>15.5</c:v>
                </c:pt>
                <c:pt idx="11">
                  <c:v>4.5</c:v>
                </c:pt>
                <c:pt idx="12">
                  <c:v>2.9000000000000101</c:v>
                </c:pt>
                <c:pt idx="13">
                  <c:v>-13.6</c:v>
                </c:pt>
                <c:pt idx="14">
                  <c:v>-1.9000000000000099</c:v>
                </c:pt>
                <c:pt idx="15">
                  <c:v>32.1</c:v>
                </c:pt>
                <c:pt idx="16">
                  <c:v>16.3</c:v>
                </c:pt>
                <c:pt idx="17">
                  <c:v>3.9000000000000101</c:v>
                </c:pt>
                <c:pt idx="18">
                  <c:v>24.8</c:v>
                </c:pt>
                <c:pt idx="19">
                  <c:v>6.5</c:v>
                </c:pt>
                <c:pt idx="20">
                  <c:v>-1.5</c:v>
                </c:pt>
                <c:pt idx="21">
                  <c:v>-14.6</c:v>
                </c:pt>
                <c:pt idx="22">
                  <c:v>-6.6999999999999904</c:v>
                </c:pt>
                <c:pt idx="23">
                  <c:v>-14.5</c:v>
                </c:pt>
                <c:pt idx="24">
                  <c:v>-4.5999999999999899</c:v>
                </c:pt>
                <c:pt idx="25">
                  <c:v>-2</c:v>
                </c:pt>
                <c:pt idx="26">
                  <c:v>-21.3</c:v>
                </c:pt>
                <c:pt idx="27">
                  <c:v>-33.799999999999997</c:v>
                </c:pt>
                <c:pt idx="28">
                  <c:v>-20.399999999999999</c:v>
                </c:pt>
                <c:pt idx="29">
                  <c:v>-7.5999999999999899</c:v>
                </c:pt>
                <c:pt idx="30">
                  <c:v>-58.9</c:v>
                </c:pt>
                <c:pt idx="31">
                  <c:v>-39.200000000000003</c:v>
                </c:pt>
              </c:numCache>
            </c:numRef>
          </c:xVal>
          <c:yVal>
            <c:numRef>
              <c:f>'Step 1 Regressions'!$CC$47:$CC$78</c:f>
              <c:numCache>
                <c:formatCode>General</c:formatCode>
                <c:ptCount val="32"/>
                <c:pt idx="0">
                  <c:v>22</c:v>
                </c:pt>
                <c:pt idx="1">
                  <c:v>19</c:v>
                </c:pt>
                <c:pt idx="2">
                  <c:v>8</c:v>
                </c:pt>
                <c:pt idx="3">
                  <c:v>27</c:v>
                </c:pt>
                <c:pt idx="4">
                  <c:v>17</c:v>
                </c:pt>
                <c:pt idx="5">
                  <c:v>11</c:v>
                </c:pt>
                <c:pt idx="6">
                  <c:v>15</c:v>
                </c:pt>
                <c:pt idx="7">
                  <c:v>25</c:v>
                </c:pt>
                <c:pt idx="8">
                  <c:v>-3</c:v>
                </c:pt>
                <c:pt idx="9">
                  <c:v>-7</c:v>
                </c:pt>
                <c:pt idx="10">
                  <c:v>-9</c:v>
                </c:pt>
                <c:pt idx="11">
                  <c:v>7</c:v>
                </c:pt>
                <c:pt idx="12">
                  <c:v>3</c:v>
                </c:pt>
                <c:pt idx="13">
                  <c:v>7</c:v>
                </c:pt>
                <c:pt idx="14">
                  <c:v>-4</c:v>
                </c:pt>
                <c:pt idx="15">
                  <c:v>-12</c:v>
                </c:pt>
                <c:pt idx="16">
                  <c:v>-5</c:v>
                </c:pt>
                <c:pt idx="17">
                  <c:v>-5</c:v>
                </c:pt>
                <c:pt idx="18">
                  <c:v>-11</c:v>
                </c:pt>
                <c:pt idx="19">
                  <c:v>0</c:v>
                </c:pt>
                <c:pt idx="20">
                  <c:v>-9</c:v>
                </c:pt>
                <c:pt idx="21">
                  <c:v>-1</c:v>
                </c:pt>
                <c:pt idx="22">
                  <c:v>-4</c:v>
                </c:pt>
                <c:pt idx="23">
                  <c:v>-8</c:v>
                </c:pt>
                <c:pt idx="24">
                  <c:v>-11</c:v>
                </c:pt>
                <c:pt idx="25">
                  <c:v>-13</c:v>
                </c:pt>
                <c:pt idx="26">
                  <c:v>-4</c:v>
                </c:pt>
                <c:pt idx="27">
                  <c:v>-5</c:v>
                </c:pt>
                <c:pt idx="28">
                  <c:v>-4</c:v>
                </c:pt>
                <c:pt idx="29">
                  <c:v>-23</c:v>
                </c:pt>
                <c:pt idx="30">
                  <c:v>2</c:v>
                </c:pt>
                <c:pt idx="31">
                  <c:v>-29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0-4472-95B9-12CCE3EB9D53}"/>
            </c:ext>
          </c:extLst>
        </c:ser>
        <c:ser>
          <c:idx val="1"/>
          <c:order val="1"/>
          <c:tx>
            <c:v>Good &amp; Lucky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8000"/>
              </a:solidFill>
              <a:ln w="9525">
                <a:solidFill>
                  <a:srgbClr val="00800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COL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530-4472-95B9-12CCE3EB9D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CAR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530-4472-95B9-12CCE3EB9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8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'Step 1 Regressions'!$CE$47:$CE$48</c:f>
              <c:numCache>
                <c:formatCode>General</c:formatCode>
                <c:ptCount val="2"/>
                <c:pt idx="0">
                  <c:v>50.5</c:v>
                </c:pt>
                <c:pt idx="1">
                  <c:v>37.1</c:v>
                </c:pt>
              </c:numCache>
            </c:numRef>
          </c:xVal>
          <c:yVal>
            <c:numRef>
              <c:f>'Step 1 Regressions'!$CF$47:$CF$48</c:f>
              <c:numCache>
                <c:formatCode>General</c:formatCode>
                <c:ptCount val="2"/>
                <c:pt idx="0">
                  <c:v>22</c:v>
                </c:pt>
                <c:pt idx="1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0-4472-95B9-12CCE3EB9D53}"/>
            </c:ext>
          </c:extLst>
        </c:ser>
        <c:ser>
          <c:idx val="2"/>
          <c:order val="2"/>
          <c:tx>
            <c:v>Bad &amp; Lucky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E8A33D"/>
              </a:solidFill>
              <a:ln w="9525">
                <a:solidFill>
                  <a:srgbClr val="E8A33D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BUF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530-4472-95B9-12CCE3EB9D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MTL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530-4472-95B9-12CCE3EB9D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BOS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530-4472-95B9-12CCE3EB9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8A33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'Step 1 Regressions'!$CI$47:$CI$49</c:f>
              <c:numCache>
                <c:formatCode>General</c:formatCode>
                <c:ptCount val="3"/>
                <c:pt idx="0">
                  <c:v>-7.6999999999999904</c:v>
                </c:pt>
                <c:pt idx="1">
                  <c:v>-1.7000000000000199</c:v>
                </c:pt>
                <c:pt idx="2">
                  <c:v>-24.5</c:v>
                </c:pt>
              </c:numCache>
            </c:numRef>
          </c:xVal>
          <c:yVal>
            <c:numRef>
              <c:f>'Step 1 Regressions'!$CJ$47:$CJ$49</c:f>
              <c:numCache>
                <c:formatCode>General</c:formatCode>
                <c:ptCount val="3"/>
                <c:pt idx="0">
                  <c:v>27</c:v>
                </c:pt>
                <c:pt idx="1">
                  <c:v>17</c:v>
                </c:pt>
                <c:pt idx="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30-4472-95B9-12CCE3EB9D53}"/>
            </c:ext>
          </c:extLst>
        </c:ser>
        <c:ser>
          <c:idx val="3"/>
          <c:order val="3"/>
          <c:tx>
            <c:v>Good &amp; Unlucky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1F78B4"/>
              </a:solidFill>
              <a:ln w="9525">
                <a:solidFill>
                  <a:srgbClr val="1F78B4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VGK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530-4472-95B9-12CCE3EB9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F78B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'Step 1 Regressions'!$CM$47</c:f>
              <c:numCache>
                <c:formatCode>General</c:formatCode>
                <c:ptCount val="1"/>
                <c:pt idx="0">
                  <c:v>32.1</c:v>
                </c:pt>
              </c:numCache>
            </c:numRef>
          </c:xVal>
          <c:yVal>
            <c:numRef>
              <c:f>'Step 1 Regressions'!$CN$47</c:f>
              <c:numCache>
                <c:formatCode>General</c:formatCode>
                <c:ptCount val="1"/>
                <c:pt idx="0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30-4472-95B9-12CCE3EB9D53}"/>
            </c:ext>
          </c:extLst>
        </c:ser>
        <c:ser>
          <c:idx val="4"/>
          <c:order val="4"/>
          <c:tx>
            <c:v>Bad &amp; Unlucky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E31A1C"/>
              </a:solidFill>
              <a:ln w="9525">
                <a:solidFill>
                  <a:srgbClr val="E31A1C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FLA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530-4472-95B9-12CCE3EB9D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STL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530-4472-95B9-12CCE3EB9D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NYR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530-4472-95B9-12CCE3EB9D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VAN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530-4472-95B9-12CCE3EB9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31A1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'Step 1 Regressions'!$CQ$47:$CQ$50</c:f>
              <c:numCache>
                <c:formatCode>General</c:formatCode>
                <c:ptCount val="4"/>
                <c:pt idx="0">
                  <c:v>-4.5999999999999899</c:v>
                </c:pt>
                <c:pt idx="1">
                  <c:v>-2</c:v>
                </c:pt>
                <c:pt idx="2">
                  <c:v>-7.5999999999999899</c:v>
                </c:pt>
                <c:pt idx="3">
                  <c:v>-39.200000000000003</c:v>
                </c:pt>
              </c:numCache>
            </c:numRef>
          </c:xVal>
          <c:yVal>
            <c:numRef>
              <c:f>'Step 1 Regressions'!$CR$47:$CR$50</c:f>
              <c:numCache>
                <c:formatCode>General</c:formatCode>
                <c:ptCount val="4"/>
                <c:pt idx="0">
                  <c:v>-11</c:v>
                </c:pt>
                <c:pt idx="1">
                  <c:v>-13</c:v>
                </c:pt>
                <c:pt idx="2">
                  <c:v>-23</c:v>
                </c:pt>
                <c:pt idx="3">
                  <c:v>-29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30-4472-95B9-12CCE3EB9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10367"/>
        <c:axId val="127608447"/>
      </c:scatterChart>
      <c:valAx>
        <c:axId val="12761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xGDiff  ← Bad Team Quality | Good Team Quality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08447"/>
        <c:crosses val="autoZero"/>
        <c:crossBetween val="midCat"/>
      </c:valAx>
      <c:valAx>
        <c:axId val="12760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Luck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1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xGdiff vs Net Luck</a:t>
            </a:r>
          </a:p>
        </c:rich>
      </c:tx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'Net Luck Quality Chart'!$D$1</c:f>
              <c:strCache>
                <c:ptCount val="1"/>
                <c:pt idx="0">
                  <c:v>Net Luck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604-484E-8F3F-D58688BB2F82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604-484E-8F3F-D58688BB2F82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604-484E-8F3F-D58688BB2F82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604-484E-8F3F-D58688BB2F82}"/>
              </c:ext>
            </c:extLst>
          </c:dPt>
          <c:dPt>
            <c:idx val="4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604-484E-8F3F-D58688BB2F82}"/>
              </c:ext>
            </c:extLst>
          </c:dPt>
          <c:dPt>
            <c:idx val="5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604-484E-8F3F-D58688BB2F82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604-484E-8F3F-D58688BB2F82}"/>
              </c:ext>
            </c:extLst>
          </c:dPt>
          <c:dPt>
            <c:idx val="7"/>
            <c:marker>
              <c:symbol val="circle"/>
              <c:size val="8"/>
              <c:spPr>
                <a:solidFill>
                  <a:srgbClr val="1565C0"/>
                </a:solidFill>
                <a:ln w="9525">
                  <a:solidFill>
                    <a:srgbClr val="1565C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604-484E-8F3F-D58688BB2F82}"/>
              </c:ext>
            </c:extLst>
          </c:dPt>
          <c:dPt>
            <c:idx val="8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604-484E-8F3F-D58688BB2F82}"/>
              </c:ext>
            </c:extLst>
          </c:dPt>
          <c:dPt>
            <c:idx val="9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604-484E-8F3F-D58688BB2F82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604-484E-8F3F-D58688BB2F82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rgbClr val="1565C0"/>
                </a:solidFill>
                <a:ln w="9525">
                  <a:solidFill>
                    <a:srgbClr val="1565C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604-484E-8F3F-D58688BB2F82}"/>
              </c:ext>
            </c:extLst>
          </c:dPt>
          <c:dPt>
            <c:idx val="12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604-484E-8F3F-D58688BB2F82}"/>
              </c:ext>
            </c:extLst>
          </c:dPt>
          <c:dPt>
            <c:idx val="13"/>
            <c:marker>
              <c:symbol val="circle"/>
              <c:size val="8"/>
              <c:spPr>
                <a:solidFill>
                  <a:srgbClr val="1565C0"/>
                </a:solidFill>
                <a:ln w="9525">
                  <a:solidFill>
                    <a:srgbClr val="1565C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604-484E-8F3F-D58688BB2F82}"/>
              </c:ext>
            </c:extLst>
          </c:dPt>
          <c:dPt>
            <c:idx val="14"/>
            <c:marker>
              <c:symbol val="circle"/>
              <c:size val="8"/>
              <c:spPr>
                <a:solidFill>
                  <a:srgbClr val="2E7D32"/>
                </a:solidFill>
                <a:ln w="9525">
                  <a:solidFill>
                    <a:srgbClr val="2E7D32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604-484E-8F3F-D58688BB2F82}"/>
              </c:ext>
            </c:extLst>
          </c:dPt>
          <c:dPt>
            <c:idx val="15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604-484E-8F3F-D58688BB2F82}"/>
              </c:ext>
            </c:extLst>
          </c:dPt>
          <c:dPt>
            <c:idx val="16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604-484E-8F3F-D58688BB2F82}"/>
              </c:ext>
            </c:extLst>
          </c:dPt>
          <c:dPt>
            <c:idx val="17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8604-484E-8F3F-D58688BB2F82}"/>
              </c:ext>
            </c:extLst>
          </c:dPt>
          <c:dPt>
            <c:idx val="18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8604-484E-8F3F-D58688BB2F82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604-484E-8F3F-D58688BB2F82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F9A825"/>
                </a:solidFill>
                <a:ln w="9525">
                  <a:solidFill>
                    <a:srgbClr val="F9A82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8604-484E-8F3F-D58688BB2F82}"/>
              </c:ext>
            </c:extLst>
          </c:dPt>
          <c:dPt>
            <c:idx val="21"/>
            <c:marker>
              <c:symbol val="circle"/>
              <c:size val="8"/>
              <c:spPr>
                <a:solidFill>
                  <a:srgbClr val="1565C0"/>
                </a:solidFill>
                <a:ln w="9525">
                  <a:solidFill>
                    <a:srgbClr val="1565C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8604-484E-8F3F-D58688BB2F82}"/>
              </c:ext>
            </c:extLst>
          </c:dPt>
          <c:dPt>
            <c:idx val="22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8604-484E-8F3F-D58688BB2F82}"/>
              </c:ext>
            </c:extLst>
          </c:dPt>
          <c:dPt>
            <c:idx val="23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8604-484E-8F3F-D58688BB2F82}"/>
              </c:ext>
            </c:extLst>
          </c:dPt>
          <c:dPt>
            <c:idx val="24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8604-484E-8F3F-D58688BB2F82}"/>
              </c:ext>
            </c:extLst>
          </c:dPt>
          <c:dPt>
            <c:idx val="25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8604-484E-8F3F-D58688BB2F82}"/>
              </c:ext>
            </c:extLst>
          </c:dPt>
          <c:dPt>
            <c:idx val="26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604-484E-8F3F-D58688BB2F82}"/>
              </c:ext>
            </c:extLst>
          </c:dPt>
          <c:dPt>
            <c:idx val="27"/>
            <c:marker>
              <c:symbol val="circle"/>
              <c:size val="8"/>
              <c:spPr>
                <a:solidFill>
                  <a:srgbClr val="1565C0"/>
                </a:solidFill>
                <a:ln w="9525">
                  <a:solidFill>
                    <a:srgbClr val="1565C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8604-484E-8F3F-D58688BB2F82}"/>
              </c:ext>
            </c:extLst>
          </c:dPt>
          <c:dPt>
            <c:idx val="28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604-484E-8F3F-D58688BB2F82}"/>
              </c:ext>
            </c:extLst>
          </c:dPt>
          <c:dPt>
            <c:idx val="29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604-484E-8F3F-D58688BB2F82}"/>
              </c:ext>
            </c:extLst>
          </c:dPt>
          <c:dPt>
            <c:idx val="30"/>
            <c:marker>
              <c:symbol val="circle"/>
              <c:size val="8"/>
              <c:spPr>
                <a:solidFill>
                  <a:srgbClr val="1565C0"/>
                </a:solidFill>
                <a:ln w="9525">
                  <a:solidFill>
                    <a:srgbClr val="1565C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604-484E-8F3F-D58688BB2F82}"/>
              </c:ext>
            </c:extLst>
          </c:dPt>
          <c:dPt>
            <c:idx val="31"/>
            <c:marker>
              <c:symbol val="circle"/>
              <c:size val="8"/>
              <c:spPr>
                <a:solidFill>
                  <a:srgbClr val="C62828"/>
                </a:solidFill>
                <a:ln w="9525">
                  <a:solidFill>
                    <a:srgbClr val="C62828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604-484E-8F3F-D58688BB2F8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COL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604-484E-8F3F-D58688BB2F82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CAR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604-484E-8F3F-D58688BB2F82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DAL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604-484E-8F3F-D58688BB2F82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BUF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604-484E-8F3F-D58688BB2F82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OTT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604-484E-8F3F-D58688BB2F82}"/>
                </c:ext>
              </c:extLst>
            </c:dLbl>
            <c:dLbl>
              <c:idx val="1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VGK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604-484E-8F3F-D58688BB2F82}"/>
                </c:ext>
              </c:extLst>
            </c:dLbl>
            <c:dLbl>
              <c:idx val="1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LAK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604-484E-8F3F-D58688BB2F82}"/>
                </c:ext>
              </c:extLst>
            </c:dLbl>
            <c:dLbl>
              <c:idx val="2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SEA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604-484E-8F3F-D58688BB2F82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CGY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604-484E-8F3F-D58688BB2F82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NYR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604-484E-8F3F-D58688BB2F82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CHI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604-484E-8F3F-D58688BB2F82}"/>
                </c:ext>
              </c:extLst>
            </c:dLbl>
            <c:dLbl>
              <c:idx val="3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VAN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604-484E-8F3F-D58688BB2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'Net Luck Quality Chart'!$C$2:$C$33</c:f>
              <c:numCache>
                <c:formatCode>General</c:formatCode>
                <c:ptCount val="32"/>
                <c:pt idx="0">
                  <c:v>4.3861820603669344</c:v>
                </c:pt>
                <c:pt idx="1">
                  <c:v>3.6067767469865828</c:v>
                </c:pt>
                <c:pt idx="2">
                  <c:v>8.4835889444585675</c:v>
                </c:pt>
                <c:pt idx="3">
                  <c:v>11.874138087326855</c:v>
                </c:pt>
                <c:pt idx="4">
                  <c:v>9.5320807649598649</c:v>
                </c:pt>
                <c:pt idx="5">
                  <c:v>4.1569830027937016</c:v>
                </c:pt>
                <c:pt idx="6">
                  <c:v>8.6290751374372476</c:v>
                </c:pt>
                <c:pt idx="7">
                  <c:v>10.111898589954464</c:v>
                </c:pt>
                <c:pt idx="8">
                  <c:v>-0.24687984238182992</c:v>
                </c:pt>
                <c:pt idx="9">
                  <c:v>-4.9807774998338985</c:v>
                </c:pt>
                <c:pt idx="10">
                  <c:v>-1.2018168924922179</c:v>
                </c:pt>
                <c:pt idx="11">
                  <c:v>4.195486518062097E-2</c:v>
                </c:pt>
                <c:pt idx="12">
                  <c:v>-0.17349651552151357</c:v>
                </c:pt>
                <c:pt idx="13">
                  <c:v>3.1921611209877483</c:v>
                </c:pt>
                <c:pt idx="14">
                  <c:v>1.0801493423720814</c:v>
                </c:pt>
                <c:pt idx="15">
                  <c:v>-7.0915088177075916</c:v>
                </c:pt>
                <c:pt idx="16">
                  <c:v>-3.8940912021411478</c:v>
                </c:pt>
                <c:pt idx="17">
                  <c:v>-0.91383940258268126</c:v>
                </c:pt>
                <c:pt idx="18">
                  <c:v>-5.9370057421610767</c:v>
                </c:pt>
                <c:pt idx="19">
                  <c:v>-2.7387309089417116</c:v>
                </c:pt>
                <c:pt idx="20">
                  <c:v>-2.2159878124523757</c:v>
                </c:pt>
                <c:pt idx="21">
                  <c:v>1.0325040080489103</c:v>
                </c:pt>
                <c:pt idx="22">
                  <c:v>-2.7662047997343109</c:v>
                </c:pt>
                <c:pt idx="23">
                  <c:v>-0.89153028065720719</c:v>
                </c:pt>
                <c:pt idx="24">
                  <c:v>-5.1709248625627566</c:v>
                </c:pt>
                <c:pt idx="25">
                  <c:v>-5.1958163689217898</c:v>
                </c:pt>
                <c:pt idx="26">
                  <c:v>-1.1571986486412769</c:v>
                </c:pt>
                <c:pt idx="27">
                  <c:v>0.64708743962331994</c:v>
                </c:pt>
                <c:pt idx="28">
                  <c:v>-4.47350724699632</c:v>
                </c:pt>
                <c:pt idx="29">
                  <c:v>-7.5498962013792621</c:v>
                </c:pt>
                <c:pt idx="30">
                  <c:v>1.6796939048586097</c:v>
                </c:pt>
                <c:pt idx="31">
                  <c:v>-11.855060970246377</c:v>
                </c:pt>
              </c:numCache>
            </c:numRef>
          </c:xVal>
          <c:yVal>
            <c:numRef>
              <c:f>'Net Luck Quality Chart'!$D$2:$D$33</c:f>
              <c:numCache>
                <c:formatCode>General</c:formatCode>
                <c:ptCount val="32"/>
                <c:pt idx="0">
                  <c:v>10.8822241916916</c:v>
                </c:pt>
                <c:pt idx="1">
                  <c:v>14.996206582475301</c:v>
                </c:pt>
                <c:pt idx="2">
                  <c:v>8.0196906760198008</c:v>
                </c:pt>
                <c:pt idx="3">
                  <c:v>3.5315647474965499</c:v>
                </c:pt>
                <c:pt idx="4">
                  <c:v>4.9218017126371301</c:v>
                </c:pt>
                <c:pt idx="5">
                  <c:v>4.6363135608941501</c:v>
                </c:pt>
                <c:pt idx="6">
                  <c:v>4.9740440946313997</c:v>
                </c:pt>
                <c:pt idx="7">
                  <c:v>-4.3623661920605299</c:v>
                </c:pt>
                <c:pt idx="8">
                  <c:v>2.68829189347935</c:v>
                </c:pt>
                <c:pt idx="9">
                  <c:v>6.7014834946910602</c:v>
                </c:pt>
                <c:pt idx="10">
                  <c:v>3.0985816685017298</c:v>
                </c:pt>
                <c:pt idx="11">
                  <c:v>-3.3726573257380998</c:v>
                </c:pt>
                <c:pt idx="12">
                  <c:v>-0.96263160012478</c:v>
                </c:pt>
                <c:pt idx="13">
                  <c:v>-0.335718940228041</c:v>
                </c:pt>
                <c:pt idx="14">
                  <c:v>3.58697164643403</c:v>
                </c:pt>
                <c:pt idx="15">
                  <c:v>6.2043853208803901</c:v>
                </c:pt>
                <c:pt idx="16">
                  <c:v>5.3099262825051801</c:v>
                </c:pt>
                <c:pt idx="17">
                  <c:v>3.60860739411505</c:v>
                </c:pt>
                <c:pt idx="18">
                  <c:v>0.48406982024470602</c:v>
                </c:pt>
                <c:pt idx="19">
                  <c:v>-1.58294845941565</c:v>
                </c:pt>
                <c:pt idx="20">
                  <c:v>4.2149391453118499</c:v>
                </c:pt>
                <c:pt idx="21">
                  <c:v>-0.445481975087475</c:v>
                </c:pt>
                <c:pt idx="22">
                  <c:v>-3.99772435708174</c:v>
                </c:pt>
                <c:pt idx="23">
                  <c:v>-2.3291231396221899</c:v>
                </c:pt>
                <c:pt idx="24">
                  <c:v>-2.7731867832114001</c:v>
                </c:pt>
                <c:pt idx="25">
                  <c:v>-3.5473289622957398</c:v>
                </c:pt>
                <c:pt idx="26">
                  <c:v>-9.5948211722372303</c:v>
                </c:pt>
                <c:pt idx="27">
                  <c:v>-7.1140831925470396</c:v>
                </c:pt>
                <c:pt idx="28">
                  <c:v>-7.4763526588097902</c:v>
                </c:pt>
                <c:pt idx="29">
                  <c:v>-10.1264840041867</c:v>
                </c:pt>
                <c:pt idx="30">
                  <c:v>-14.584267347805801</c:v>
                </c:pt>
                <c:pt idx="31">
                  <c:v>-15.2539261215568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4-484E-8F3F-D58688BB2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8895"/>
        <c:axId val="203649375"/>
      </c:scatterChart>
      <c:valAx>
        <c:axId val="20364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xGDiff</a:t>
                </a:r>
                <a:r>
                  <a:rPr lang="en-US" sz="1200" b="1" baseline="0"/>
                  <a:t> - &lt;--&gt; +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51930610718700099"/>
              <c:y val="0.95013377887531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9375"/>
        <c:crosses val="autoZero"/>
        <c:crossBetween val="midCat"/>
      </c:valAx>
      <c:valAx>
        <c:axId val="2036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Net Lukc - &lt;--&gt; +</a:t>
                </a:r>
              </a:p>
            </c:rich>
          </c:tx>
          <c:layout>
            <c:manualLayout>
              <c:xMode val="edge"/>
              <c:yMode val="edge"/>
              <c:x val="1.0749891707537769E-2"/>
              <c:y val="0.4297776787354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178538</xdr:colOff>
      <xdr:row>20</xdr:row>
      <xdr:rowOff>174962</xdr:rowOff>
    </xdr:from>
    <xdr:to>
      <xdr:col>41</xdr:col>
      <xdr:colOff>167901</xdr:colOff>
      <xdr:row>61</xdr:row>
      <xdr:rowOff>149378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57498B-B1C3-46B8-B772-6EEB240A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33083" y="5177992"/>
          <a:ext cx="9687544" cy="9841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669833</xdr:colOff>
      <xdr:row>42</xdr:row>
      <xdr:rowOff>11204</xdr:rowOff>
    </xdr:from>
    <xdr:to>
      <xdr:col>12</xdr:col>
      <xdr:colOff>487461</xdr:colOff>
      <xdr:row>60</xdr:row>
      <xdr:rowOff>60657</xdr:rowOff>
    </xdr:to>
    <xdr:graphicFrame macro="">
      <xdr:nvGraphicFramePr>
        <xdr:cNvPr id="4" name="Chart_xGDiff">
          <a:extLst>
            <a:ext uri="{FF2B5EF4-FFF2-40B4-BE49-F238E27FC236}">
              <a16:creationId xmlns:a16="http://schemas.microsoft.com/office/drawing/2014/main" id="{6DA236DB-FB71-F75D-8162-8D39B93FA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202183</xdr:colOff>
      <xdr:row>40</xdr:row>
      <xdr:rowOff>9469</xdr:rowOff>
    </xdr:from>
    <xdr:to>
      <xdr:col>38</xdr:col>
      <xdr:colOff>84254</xdr:colOff>
      <xdr:row>59</xdr:row>
      <xdr:rowOff>79319</xdr:rowOff>
    </xdr:to>
    <xdr:graphicFrame macro="">
      <xdr:nvGraphicFramePr>
        <xdr:cNvPr id="5" name="Chart_NetLuck">
          <a:extLst>
            <a:ext uri="{FF2B5EF4-FFF2-40B4-BE49-F238E27FC236}">
              <a16:creationId xmlns:a16="http://schemas.microsoft.com/office/drawing/2014/main" id="{1E5C2EBF-22BB-BFDF-0931-FA6B696EB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574448</xdr:colOff>
      <xdr:row>40</xdr:row>
      <xdr:rowOff>64708</xdr:rowOff>
    </xdr:from>
    <xdr:to>
      <xdr:col>29</xdr:col>
      <xdr:colOff>455990</xdr:colOff>
      <xdr:row>59</xdr:row>
      <xdr:rowOff>134558</xdr:rowOff>
    </xdr:to>
    <xdr:graphicFrame macro="">
      <xdr:nvGraphicFramePr>
        <xdr:cNvPr id="6" name="Chart_Pythag">
          <a:extLst>
            <a:ext uri="{FF2B5EF4-FFF2-40B4-BE49-F238E27FC236}">
              <a16:creationId xmlns:a16="http://schemas.microsoft.com/office/drawing/2014/main" id="{EBC60FA4-088E-9FB2-6441-2BBA1411D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281214</xdr:colOff>
      <xdr:row>41</xdr:row>
      <xdr:rowOff>117022</xdr:rowOff>
    </xdr:from>
    <xdr:to>
      <xdr:col>21</xdr:col>
      <xdr:colOff>94342</xdr:colOff>
      <xdr:row>60</xdr:row>
      <xdr:rowOff>186872</xdr:rowOff>
    </xdr:to>
    <xdr:graphicFrame macro="">
      <xdr:nvGraphicFramePr>
        <xdr:cNvPr id="7" name="Chart_PDO">
          <a:extLst>
            <a:ext uri="{FF2B5EF4-FFF2-40B4-BE49-F238E27FC236}">
              <a16:creationId xmlns:a16="http://schemas.microsoft.com/office/drawing/2014/main" id="{C6CBD96A-3F52-C846-14BC-72D87CD28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560917</xdr:colOff>
      <xdr:row>0</xdr:row>
      <xdr:rowOff>211668</xdr:rowOff>
    </xdr:from>
    <xdr:to>
      <xdr:col>15</xdr:col>
      <xdr:colOff>560916</xdr:colOff>
      <xdr:row>18</xdr:row>
      <xdr:rowOff>179918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9CAC0-F15E-BDA7-3D33-54E210F85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107951</xdr:rowOff>
    </xdr:to>
    <xdr:sp macro="" textlink="">
      <xdr:nvSpPr>
        <xdr:cNvPr id="2049" name="AutoShape 1" descr="Image result for expected goals for nhl">
          <a:extLst>
            <a:ext uri="{FF2B5EF4-FFF2-40B4-BE49-F238E27FC236}">
              <a16:creationId xmlns:a16="http://schemas.microsoft.com/office/drawing/2014/main" id="{0B0EC4F4-3166-5909-DCD2-560241069B35}"/>
            </a:ext>
          </a:extLst>
        </xdr:cNvPr>
        <xdr:cNvSpPr>
          <a:spLocks noChangeAspect="1" noChangeArrowheads="1"/>
        </xdr:cNvSpPr>
      </xdr:nvSpPr>
      <xdr:spPr bwMode="auto">
        <a:xfrm>
          <a:off x="508000" y="4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44</xdr:row>
      <xdr:rowOff>196849</xdr:rowOff>
    </xdr:from>
    <xdr:to>
      <xdr:col>53</xdr:col>
      <xdr:colOff>0</xdr:colOff>
      <xdr:row>73</xdr:row>
      <xdr:rowOff>196849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FE052F-1DF0-FBFD-CB92-E3724FDD6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174978</xdr:colOff>
      <xdr:row>0</xdr:row>
      <xdr:rowOff>197556</xdr:rowOff>
    </xdr:from>
    <xdr:to>
      <xdr:col>26</xdr:col>
      <xdr:colOff>452496</xdr:colOff>
      <xdr:row>33</xdr:row>
      <xdr:rowOff>48449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FF7A0-B3E3-28C2-2383-DCBEE5732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931A1-CC93-43C7-8324-4E2A05F19891}" name="Table1" displayName="Table1" ref="A1:Z33" totalsRowShown="0" headerRowDxfId="30" dataDxfId="28" headerRowBorderDxfId="29" tableBorderDxfId="27" totalsRowBorderDxfId="26">
  <autoFilter ref="A1:Z33" xr:uid="{780931A1-CC93-43C7-8324-4E2A05F198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9" xr3:uid="{2CF426CF-15DC-410F-97F2-CEF581247E1E}" name="Rk" dataDxfId="25"/>
    <tableColumn id="10" xr3:uid="{A07022A7-192E-4F3F-B356-5A4D223F9438}" name="Team" dataDxfId="24" dataCellStyle="Hyperlink"/>
    <tableColumn id="1" xr3:uid="{8C4176AC-8200-42D4-8FAB-6D27B764E1CC}" name="xGF" dataDxfId="23"/>
    <tableColumn id="2" xr3:uid="{CB190050-6BBD-4EA5-A394-56FD0BCBC4E7}" name="xGA" dataDxfId="22"/>
    <tableColumn id="3" xr3:uid="{1491B440-45DE-43FB-94BF-3CFA7723ED3C}" name="PTS%" dataDxfId="21"/>
    <tableColumn id="4" xr3:uid="{6922C75D-BECF-4054-86E3-D564A4696FBC}" name="aGF" dataDxfId="20"/>
    <tableColumn id="5" xr3:uid="{3BAE7B5D-2DED-40BE-92C6-37B8E65C390F}" name="aGA" dataDxfId="19"/>
    <tableColumn id="6" xr3:uid="{EBCF5C5C-411C-4150-8CF9-084DA420ABAE}" name="PDO" dataDxfId="18"/>
    <tableColumn id="7" xr3:uid="{42789271-84D9-4AA7-AFDA-E1A5181D9E16}" name="S" dataDxfId="17"/>
    <tableColumn id="8" xr3:uid="{53A2766A-2183-4817-8A18-452DFE20C5B1}" name="SA" dataDxfId="16"/>
    <tableColumn id="11" xr3:uid="{6A64D2FC-9235-44E6-9207-0EDF749D2C5B}" name="GF−xGF" dataDxfId="15">
      <calculatedColumnFormula>F2-C2</calculatedColumnFormula>
    </tableColumn>
    <tableColumn id="12" xr3:uid="{BA33DD91-27E5-4588-8DFA-DC3B42F382EE}" name="GA−xGA" dataDxfId="14">
      <calculatedColumnFormula>G2-D2</calculatedColumnFormula>
    </tableColumn>
    <tableColumn id="13" xr3:uid="{1E454740-40D8-4BA1-8C99-50D67E1AB10A}" name="xGDiff" dataDxfId="13">
      <calculatedColumnFormula>C2-D2</calculatedColumnFormula>
    </tableColumn>
    <tableColumn id="14" xr3:uid="{741B0D17-AA11-4A1B-AB9D-A9ABB3352767}" name="Net Luck" dataDxfId="12">
      <calculatedColumnFormula>K2-L2</calculatedColumnFormula>
    </tableColumn>
    <tableColumn id="15" xr3:uid="{907D796A-C246-414A-BCA7-C5CD03C093E0}" name="Gdiff" dataDxfId="11">
      <calculatedColumnFormula>F2-G2</calculatedColumnFormula>
    </tableColumn>
    <tableColumn id="16" xr3:uid="{0614B671-94E5-4BC8-B972-C1388A1DD21D}" name="Sdiff" dataDxfId="10">
      <calculatedColumnFormula>I2-J2</calculatedColumnFormula>
    </tableColumn>
    <tableColumn id="19" xr3:uid="{16C6811A-B82F-4D16-AA58-9F11C60954C3}" name="PyThagWin%" dataDxfId="9">
      <calculatedColumnFormula>Table1[[#This Row],[aGF]]^2/(Table1[[#This Row],[aGF]]^2+Table1[[#This Row],[aGA]]^2)*100</calculatedColumnFormula>
    </tableColumn>
    <tableColumn id="17" xr3:uid="{B24AE527-7E5D-4AFA-988C-8B313B612B41}" name="Pred PTS%" dataDxfId="8">
      <calculatedColumnFormula>INTERCEPT($E$2:$E$33,$N$2:$N$33)+SLOPE($E$2:$E$33,$N$2:$N$33)*N2</calculatedColumnFormula>
    </tableColumn>
    <tableColumn id="23" xr3:uid="{F1F48158-297B-406D-A322-35B5D03AD110}" name="XGDiffPythag" dataDxfId="7">
      <calculatedColumnFormula>Table1[[#This Row],[xGF]]^2/(Table1[[#This Row],[xGF]]^2+Table1[[#This Row],[xGA]]^2)*100</calculatedColumnFormula>
    </tableColumn>
    <tableColumn id="27" xr3:uid="{473D9260-27C5-4595-9D15-4863212823AD}" name="XGDiffPts%" dataDxfId="6">
      <calculatedColumnFormula>INTERCEPT($E$2:$E$33,$M$2:$M$33)+SLOPE($E$2:$E$33,$M$2:$M$33)*M2</calculatedColumnFormula>
    </tableColumn>
    <tableColumn id="18" xr3:uid="{21C79F08-72D9-453C-B4B5-E2F3D0D16D9A}" name="Residual" dataDxfId="5">
      <calculatedColumnFormula>E2-R2</calculatedColumnFormula>
    </tableColumn>
    <tableColumn id="20" xr3:uid="{CBBAEEBA-9D00-4A29-A2EA-5D4AE93FB530}" name="Pythag Residual" dataDxfId="4">
      <calculatedColumnFormula>Table1[[#This Row],[PTS%]]-Table1[[#This Row],[PyThagWin%]]</calculatedColumnFormula>
    </tableColumn>
    <tableColumn id="24" xr3:uid="{D6B69C4F-488B-47A2-AE65-BBDC8EA8B42A}" name="Xpythag R" dataDxfId="3">
      <calculatedColumnFormula>Table1[[#This Row],[PTS%]]-Table1[[#This Row],[XGDiffPythag]]</calculatedColumnFormula>
    </tableColumn>
    <tableColumn id="28" xr3:uid="{EAE3218A-97B3-40D7-9B2C-D2F663785F50}" name="XGDiff R" dataDxfId="2">
      <calculatedColumnFormula>Table1[[#This Row],[PTS%]]-Table1[[#This Row],[XGDiffPts%]]</calculatedColumnFormula>
    </tableColumn>
    <tableColumn id="25" xr3:uid="{7A823091-A47F-4E54-87C3-16263CDBD645}" name="Py - Xpy" dataDxfId="1">
      <calculatedColumnFormula>Table1[[#This Row],[PyThagWin%]]-Table1[[#This Row],[XGDiffPythag]]</calculatedColumnFormula>
    </tableColumn>
    <tableColumn id="21" xr3:uid="{09A0BE28-4702-419A-BEB5-A7627E68FEAA}" name="Std" dataDxfId="0">
      <calculatedColumnFormula>ABS(Y2)/Q2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7ba53b-7803-48ed-b833-b1cad15f1756}">
  <we:reference id="WA200009404" version="1.0.0.8" store="en-US" storeType="OMEX"/>
  <we:alternateReferences/>
  <we:properties>
    <we:property name="Microsoft.Office.CampaignId" value="&quot;none&quot;"/>
    <we:property name="claude.fileId" value="&quot;2e0ec6ec-10e6-4586-ba74-d3b1a23b0d0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ockey-reference.com/teams/CBJ/2026.html" TargetMode="External"/><Relationship Id="rId18" Type="http://schemas.openxmlformats.org/officeDocument/2006/relationships/hyperlink" Target="https://www.hockey-reference.com/teams/ANA/2026.html" TargetMode="External"/><Relationship Id="rId26" Type="http://schemas.openxmlformats.org/officeDocument/2006/relationships/hyperlink" Target="https://www.hockey-reference.com/teams/STL/2026.html" TargetMode="External"/><Relationship Id="rId3" Type="http://schemas.openxmlformats.org/officeDocument/2006/relationships/hyperlink" Target="https://www.hockey-reference.com/teams/DAL/2026.html" TargetMode="External"/><Relationship Id="rId21" Type="http://schemas.openxmlformats.org/officeDocument/2006/relationships/hyperlink" Target="https://www.hockey-reference.com/teams/NJD/2026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hockey-reference.com/teams/MIN/2026.html" TargetMode="External"/><Relationship Id="rId12" Type="http://schemas.openxmlformats.org/officeDocument/2006/relationships/hyperlink" Target="https://www.hockey-reference.com/teams/WSH/2026.html" TargetMode="External"/><Relationship Id="rId17" Type="http://schemas.openxmlformats.org/officeDocument/2006/relationships/hyperlink" Target="https://www.hockey-reference.com/teams/EDM/2026.html" TargetMode="External"/><Relationship Id="rId25" Type="http://schemas.openxmlformats.org/officeDocument/2006/relationships/hyperlink" Target="https://www.hockey-reference.com/teams/FLA/2026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hockey-reference.com/teams/CAR/2026.html" TargetMode="External"/><Relationship Id="rId16" Type="http://schemas.openxmlformats.org/officeDocument/2006/relationships/hyperlink" Target="https://www.hockey-reference.com/teams/VEG/2026.html" TargetMode="External"/><Relationship Id="rId20" Type="http://schemas.openxmlformats.org/officeDocument/2006/relationships/hyperlink" Target="https://www.hockey-reference.com/teams/LAK/2026.html" TargetMode="External"/><Relationship Id="rId29" Type="http://schemas.openxmlformats.org/officeDocument/2006/relationships/hyperlink" Target="https://www.hockey-reference.com/teams/CGY/2026.html" TargetMode="External"/><Relationship Id="rId1" Type="http://schemas.openxmlformats.org/officeDocument/2006/relationships/hyperlink" Target="https://www.hockey-reference.com/teams/COL/2026.html" TargetMode="External"/><Relationship Id="rId6" Type="http://schemas.openxmlformats.org/officeDocument/2006/relationships/hyperlink" Target="https://www.hockey-reference.com/teams/TBL/2026.html" TargetMode="External"/><Relationship Id="rId11" Type="http://schemas.openxmlformats.org/officeDocument/2006/relationships/hyperlink" Target="https://www.hockey-reference.com/teams/PHI/2026.html" TargetMode="External"/><Relationship Id="rId24" Type="http://schemas.openxmlformats.org/officeDocument/2006/relationships/hyperlink" Target="https://www.hockey-reference.com/teams/SJS/2026.html" TargetMode="External"/><Relationship Id="rId32" Type="http://schemas.openxmlformats.org/officeDocument/2006/relationships/hyperlink" Target="https://www.hockey-reference.com/teams/VAN/2026.html" TargetMode="External"/><Relationship Id="rId5" Type="http://schemas.openxmlformats.org/officeDocument/2006/relationships/hyperlink" Target="https://www.hockey-reference.com/teams/MTL/2026.html" TargetMode="External"/><Relationship Id="rId15" Type="http://schemas.openxmlformats.org/officeDocument/2006/relationships/hyperlink" Target="https://www.hockey-reference.com/teams/DET/2026.html" TargetMode="External"/><Relationship Id="rId23" Type="http://schemas.openxmlformats.org/officeDocument/2006/relationships/hyperlink" Target="https://www.hockey-reference.com/teams/WPG/2026.html" TargetMode="External"/><Relationship Id="rId28" Type="http://schemas.openxmlformats.org/officeDocument/2006/relationships/hyperlink" Target="https://www.hockey-reference.com/teams/TOR/2026.html" TargetMode="External"/><Relationship Id="rId10" Type="http://schemas.openxmlformats.org/officeDocument/2006/relationships/hyperlink" Target="https://www.hockey-reference.com/teams/OTT/2026.html" TargetMode="External"/><Relationship Id="rId19" Type="http://schemas.openxmlformats.org/officeDocument/2006/relationships/hyperlink" Target="https://www.hockey-reference.com/teams/UTA/2026.html" TargetMode="External"/><Relationship Id="rId31" Type="http://schemas.openxmlformats.org/officeDocument/2006/relationships/hyperlink" Target="https://www.hockey-reference.com/teams/CHI/2026.html" TargetMode="External"/><Relationship Id="rId4" Type="http://schemas.openxmlformats.org/officeDocument/2006/relationships/hyperlink" Target="https://www.hockey-reference.com/teams/BUF/2026.html" TargetMode="External"/><Relationship Id="rId9" Type="http://schemas.openxmlformats.org/officeDocument/2006/relationships/hyperlink" Target="https://www.hockey-reference.com/teams/PIT/2026.html" TargetMode="External"/><Relationship Id="rId14" Type="http://schemas.openxmlformats.org/officeDocument/2006/relationships/hyperlink" Target="https://www.hockey-reference.com/teams/NYI/2026.html" TargetMode="External"/><Relationship Id="rId22" Type="http://schemas.openxmlformats.org/officeDocument/2006/relationships/hyperlink" Target="https://www.hockey-reference.com/teams/NSH/2026.html" TargetMode="External"/><Relationship Id="rId27" Type="http://schemas.openxmlformats.org/officeDocument/2006/relationships/hyperlink" Target="https://www.hockey-reference.com/teams/SEA/2026.html" TargetMode="External"/><Relationship Id="rId30" Type="http://schemas.openxmlformats.org/officeDocument/2006/relationships/hyperlink" Target="https://www.hockey-reference.com/teams/NYR/2026.html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www.hockey-reference.com/teams/BOS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AB71"/>
  <sheetViews>
    <sheetView tabSelected="1" zoomScale="43" zoomScaleNormal="100" workbookViewId="0">
      <selection activeCell="T38" sqref="T38"/>
    </sheetView>
  </sheetViews>
  <sheetFormatPr defaultColWidth="10.6640625" defaultRowHeight="15.5" x14ac:dyDescent="0.35"/>
  <cols>
    <col min="1" max="1" width="9.58203125" bestFit="1" customWidth="1"/>
    <col min="2" max="2" width="20.08203125" bestFit="1" customWidth="1"/>
    <col min="3" max="3" width="10.75" bestFit="1" customWidth="1"/>
    <col min="4" max="4" width="10.83203125" bestFit="1" customWidth="1"/>
    <col min="5" max="5" width="12.4140625" bestFit="1" customWidth="1"/>
    <col min="6" max="6" width="9.83203125" bestFit="1" customWidth="1"/>
    <col min="7" max="7" width="9.9140625" bestFit="1" customWidth="1"/>
    <col min="8" max="8" width="7" customWidth="1"/>
    <col min="9" max="9" width="8.6640625" bestFit="1" customWidth="1"/>
    <col min="10" max="10" width="9.83203125" bestFit="1" customWidth="1"/>
    <col min="11" max="11" width="14.08203125" bestFit="1" customWidth="1"/>
    <col min="12" max="12" width="14.33203125" bestFit="1" customWidth="1"/>
    <col min="13" max="13" width="12.6640625" bestFit="1" customWidth="1"/>
    <col min="14" max="14" width="14.4140625" bestFit="1" customWidth="1"/>
    <col min="15" max="15" width="11.58203125" bestFit="1" customWidth="1"/>
    <col min="16" max="16" width="11.5" bestFit="1" customWidth="1"/>
    <col min="17" max="17" width="16.5" customWidth="1"/>
    <col min="18" max="18" width="17.25" bestFit="1" customWidth="1"/>
    <col min="19" max="20" width="16.5" customWidth="1"/>
    <col min="21" max="21" width="14.9140625" customWidth="1"/>
    <col min="22" max="22" width="14.75" customWidth="1"/>
    <col min="23" max="24" width="13.83203125" customWidth="1"/>
  </cols>
  <sheetData>
    <row r="1" spans="1:28" ht="19" x14ac:dyDescent="0.35">
      <c r="A1" s="25" t="s">
        <v>6</v>
      </c>
      <c r="B1" s="26" t="s">
        <v>7</v>
      </c>
      <c r="C1" s="26" t="s">
        <v>0</v>
      </c>
      <c r="D1" s="26" t="s">
        <v>1</v>
      </c>
      <c r="E1" s="27" t="s">
        <v>2</v>
      </c>
      <c r="F1" s="28" t="s">
        <v>73</v>
      </c>
      <c r="G1" s="28" t="s">
        <v>74</v>
      </c>
      <c r="H1" s="26" t="s">
        <v>5</v>
      </c>
      <c r="I1" s="26" t="s">
        <v>48</v>
      </c>
      <c r="J1" s="26" t="s">
        <v>49</v>
      </c>
      <c r="K1" s="29" t="s">
        <v>40</v>
      </c>
      <c r="L1" s="29" t="s">
        <v>41</v>
      </c>
      <c r="M1" s="29" t="s">
        <v>42</v>
      </c>
      <c r="N1" s="29" t="s">
        <v>43</v>
      </c>
      <c r="O1" s="29" t="s">
        <v>50</v>
      </c>
      <c r="P1" s="29" t="s">
        <v>51</v>
      </c>
      <c r="Q1" s="29" t="s">
        <v>55</v>
      </c>
      <c r="R1" s="29" t="s">
        <v>53</v>
      </c>
      <c r="S1" s="29" t="s">
        <v>85</v>
      </c>
      <c r="T1" s="29" t="s">
        <v>123</v>
      </c>
      <c r="U1" s="29" t="s">
        <v>54</v>
      </c>
      <c r="V1" s="30" t="s">
        <v>56</v>
      </c>
      <c r="W1" s="29" t="s">
        <v>84</v>
      </c>
      <c r="X1" s="29" t="s">
        <v>124</v>
      </c>
      <c r="Y1" s="29" t="s">
        <v>88</v>
      </c>
      <c r="Z1" s="29" t="s">
        <v>134</v>
      </c>
      <c r="AA1" s="77" t="s">
        <v>52</v>
      </c>
      <c r="AB1" s="78"/>
    </row>
    <row r="2" spans="1:28" ht="19" x14ac:dyDescent="0.35">
      <c r="A2" s="31">
        <v>1</v>
      </c>
      <c r="B2" s="32" t="s">
        <v>8</v>
      </c>
      <c r="C2" s="33">
        <v>202.7</v>
      </c>
      <c r="D2" s="33">
        <v>152.19999999999999</v>
      </c>
      <c r="E2" s="34">
        <f>0.728*100</f>
        <v>72.8</v>
      </c>
      <c r="F2" s="35">
        <v>211</v>
      </c>
      <c r="G2" s="35">
        <v>126</v>
      </c>
      <c r="H2" s="33">
        <v>101.7</v>
      </c>
      <c r="I2" s="33">
        <v>2661</v>
      </c>
      <c r="J2" s="33">
        <v>2060</v>
      </c>
      <c r="K2" s="36">
        <f t="shared" ref="K2:K33" si="0">F2-C2</f>
        <v>8.3000000000000114</v>
      </c>
      <c r="L2" s="36">
        <f t="shared" ref="L2:L33" si="1">G2-D2</f>
        <v>-26.199999999999989</v>
      </c>
      <c r="M2" s="36">
        <f t="shared" ref="M2:M33" si="2">C2-D2</f>
        <v>50.5</v>
      </c>
      <c r="N2" s="36">
        <f t="shared" ref="N2:N33" si="3">K2-L2</f>
        <v>34.5</v>
      </c>
      <c r="O2" s="37">
        <f t="shared" ref="O2:O33" si="4">F2-G2</f>
        <v>85</v>
      </c>
      <c r="P2" s="37">
        <f t="shared" ref="P2:P33" si="5">I2-J2</f>
        <v>601</v>
      </c>
      <c r="Q2" s="38">
        <f>Table1[[#This Row],[aGF]]^2/(Table1[[#This Row],[aGF]]^2+Table1[[#This Row],[aGA]]^2)*100</f>
        <v>73.713926188386836</v>
      </c>
      <c r="R2" s="38">
        <f>INTERCEPT($E$2:$E$33,$N$2:$N$33)+SLOPE($E$2:$E$33,$N$2:$N$33)*N2</f>
        <v>61.917775808308377</v>
      </c>
      <c r="S2" s="38">
        <f>Table1[[#This Row],[xGF]]^2/(Table1[[#This Row],[xGF]]^2+Table1[[#This Row],[xGA]]^2)*100</f>
        <v>63.946969540153766</v>
      </c>
      <c r="T2" s="38">
        <f t="shared" ref="T2:T33" si="6">INTERCEPT($E$2:$E$33,$M$2:$M$33)+SLOPE($E$2:$E$33,$M$2:$M$33)*M2</f>
        <v>68.413817939633063</v>
      </c>
      <c r="U2" s="38">
        <f t="shared" ref="U2:U33" si="7">E2-R2</f>
        <v>10.88222419169162</v>
      </c>
      <c r="V2" s="39">
        <f>Table1[[#This Row],[PTS%]]-Table1[[#This Row],[PyThagWin%]]</f>
        <v>-0.91392618838683859</v>
      </c>
      <c r="W2" s="76">
        <f>Table1[[#This Row],[PTS%]]-Table1[[#This Row],[XGDiffPythag]]</f>
        <v>8.8530304598462308</v>
      </c>
      <c r="X2" s="76">
        <f>Table1[[#This Row],[PTS%]]-Table1[[#This Row],[XGDiffPts%]]</f>
        <v>4.3861820603669344</v>
      </c>
      <c r="Y2" s="76">
        <f>Table1[[#This Row],[PyThagWin%]]-Table1[[#This Row],[XGDiffPythag]]</f>
        <v>9.7669566482330694</v>
      </c>
      <c r="Z2" s="76">
        <f t="shared" ref="Z2:Z33" si="8">ABS(Y2)/Q2</f>
        <v>0.13249812014180559</v>
      </c>
      <c r="AA2" s="3" t="s">
        <v>0</v>
      </c>
      <c r="AB2" s="1">
        <f>AVERAGE(A:A)</f>
        <v>16.5</v>
      </c>
    </row>
    <row r="3" spans="1:28" ht="19" x14ac:dyDescent="0.35">
      <c r="A3" s="31">
        <v>2</v>
      </c>
      <c r="B3" s="32" t="s">
        <v>9</v>
      </c>
      <c r="C3" s="33">
        <v>196.4</v>
      </c>
      <c r="D3" s="33">
        <v>159.30000000000001</v>
      </c>
      <c r="E3" s="34">
        <f>100*0.688</f>
        <v>68.8</v>
      </c>
      <c r="F3" s="35">
        <v>181</v>
      </c>
      <c r="G3" s="35">
        <v>159</v>
      </c>
      <c r="H3" s="33">
        <v>98.4</v>
      </c>
      <c r="I3" s="33">
        <v>2591</v>
      </c>
      <c r="J3" s="33">
        <v>1908</v>
      </c>
      <c r="K3" s="36">
        <f t="shared" si="0"/>
        <v>-15.400000000000006</v>
      </c>
      <c r="L3" s="36">
        <f t="shared" si="1"/>
        <v>-0.30000000000001137</v>
      </c>
      <c r="M3" s="36">
        <f t="shared" si="2"/>
        <v>37.099999999999994</v>
      </c>
      <c r="N3" s="36">
        <f t="shared" si="3"/>
        <v>-15.099999999999994</v>
      </c>
      <c r="O3" s="37">
        <f t="shared" si="4"/>
        <v>22</v>
      </c>
      <c r="P3" s="37">
        <f t="shared" si="5"/>
        <v>683</v>
      </c>
      <c r="Q3" s="38">
        <f>Table1[[#This Row],[aGF]]^2/(Table1[[#This Row],[aGF]]^2+Table1[[#This Row],[aGA]]^2)*100</f>
        <v>56.443609799800143</v>
      </c>
      <c r="R3" s="38">
        <f t="shared" ref="R3:R33" si="9">INTERCEPT($E$2:$E$33,$N$2:$N$33)+SLOPE($E$2:$E$33,$N$2:$N$33)*N3</f>
        <v>53.803793417524652</v>
      </c>
      <c r="S3" s="38">
        <f>Table1[[#This Row],[xGF]]^2/(Table1[[#This Row],[xGF]]^2+Table1[[#This Row],[xGA]]^2)*100</f>
        <v>60.317891709780135</v>
      </c>
      <c r="T3" s="38">
        <f t="shared" si="6"/>
        <v>65.193223253013414</v>
      </c>
      <c r="U3" s="38">
        <f t="shared" si="7"/>
        <v>14.996206582475345</v>
      </c>
      <c r="V3" s="39">
        <f>Table1[[#This Row],[PTS%]]-Table1[[#This Row],[PyThagWin%]]</f>
        <v>12.356390200199854</v>
      </c>
      <c r="W3" s="76">
        <f>Table1[[#This Row],[PTS%]]-Table1[[#This Row],[XGDiffPythag]]</f>
        <v>8.4821082902198626</v>
      </c>
      <c r="X3" s="76">
        <f>Table1[[#This Row],[PTS%]]-Table1[[#This Row],[XGDiffPts%]]</f>
        <v>3.6067767469865828</v>
      </c>
      <c r="Y3" s="76">
        <f>Table1[[#This Row],[PyThagWin%]]-Table1[[#This Row],[XGDiffPythag]]</f>
        <v>-3.8742819099799917</v>
      </c>
      <c r="Z3" s="76">
        <f t="shared" si="8"/>
        <v>6.8639867714373401E-2</v>
      </c>
      <c r="AA3" s="3" t="s">
        <v>1</v>
      </c>
      <c r="AB3" s="1">
        <f>AVERAGE(D2:D33)</f>
        <v>169.45000000000002</v>
      </c>
    </row>
    <row r="4" spans="1:28" ht="19" x14ac:dyDescent="0.35">
      <c r="A4" s="31">
        <v>3</v>
      </c>
      <c r="B4" s="32" t="s">
        <v>10</v>
      </c>
      <c r="C4" s="33">
        <v>163.4</v>
      </c>
      <c r="D4" s="33">
        <v>152</v>
      </c>
      <c r="E4" s="34">
        <f>100*0.675</f>
        <v>67.5</v>
      </c>
      <c r="F4" s="35">
        <v>163</v>
      </c>
      <c r="G4" s="35">
        <v>132</v>
      </c>
      <c r="H4" s="33">
        <v>102.1</v>
      </c>
      <c r="I4" s="33">
        <v>2014</v>
      </c>
      <c r="J4" s="33">
        <v>2094</v>
      </c>
      <c r="K4" s="36">
        <f t="shared" si="0"/>
        <v>-0.40000000000000568</v>
      </c>
      <c r="L4" s="36">
        <f t="shared" si="1"/>
        <v>-20</v>
      </c>
      <c r="M4" s="36">
        <f t="shared" si="2"/>
        <v>11.400000000000006</v>
      </c>
      <c r="N4" s="36">
        <f t="shared" si="3"/>
        <v>19.599999999999994</v>
      </c>
      <c r="O4" s="37">
        <f t="shared" si="4"/>
        <v>31</v>
      </c>
      <c r="P4" s="37">
        <f t="shared" si="5"/>
        <v>-80</v>
      </c>
      <c r="Q4" s="38">
        <f>Table1[[#This Row],[aGF]]^2/(Table1[[#This Row],[aGF]]^2+Table1[[#This Row],[aGA]]^2)*100</f>
        <v>60.393698997567789</v>
      </c>
      <c r="R4" s="38">
        <f t="shared" si="9"/>
        <v>59.480309323980201</v>
      </c>
      <c r="S4" s="38">
        <f>Table1[[#This Row],[xGF]]^2/(Table1[[#This Row],[xGF]]^2+Table1[[#This Row],[xGA]]^2)*100</f>
        <v>53.60974195418963</v>
      </c>
      <c r="T4" s="38">
        <f t="shared" si="6"/>
        <v>59.016411055541433</v>
      </c>
      <c r="U4" s="38">
        <f t="shared" si="7"/>
        <v>8.019690676019799</v>
      </c>
      <c r="V4" s="39">
        <f>Table1[[#This Row],[PTS%]]-Table1[[#This Row],[PyThagWin%]]</f>
        <v>7.1063010024322111</v>
      </c>
      <c r="W4" s="76">
        <f>Table1[[#This Row],[PTS%]]-Table1[[#This Row],[XGDiffPythag]]</f>
        <v>13.89025804581037</v>
      </c>
      <c r="X4" s="76">
        <f>Table1[[#This Row],[PTS%]]-Table1[[#This Row],[XGDiffPts%]]</f>
        <v>8.4835889444585675</v>
      </c>
      <c r="Y4" s="76">
        <f>Table1[[#This Row],[PyThagWin%]]-Table1[[#This Row],[XGDiffPythag]]</f>
        <v>6.7839570433781589</v>
      </c>
      <c r="Z4" s="76">
        <f t="shared" si="8"/>
        <v>0.11232888788036259</v>
      </c>
      <c r="AA4" s="3" t="s">
        <v>2</v>
      </c>
      <c r="AB4" s="1">
        <f>AVERAGE(C:C)</f>
        <v>169.44374999999997</v>
      </c>
    </row>
    <row r="5" spans="1:28" ht="19" x14ac:dyDescent="0.35">
      <c r="A5" s="31">
        <v>4</v>
      </c>
      <c r="B5" s="32" t="s">
        <v>11</v>
      </c>
      <c r="C5" s="33">
        <v>172</v>
      </c>
      <c r="D5" s="33">
        <v>179.7</v>
      </c>
      <c r="E5" s="34">
        <f>100*0.663</f>
        <v>66.3</v>
      </c>
      <c r="F5" s="35">
        <v>186</v>
      </c>
      <c r="G5" s="35">
        <v>154</v>
      </c>
      <c r="H5" s="33">
        <v>101.5</v>
      </c>
      <c r="I5" s="33">
        <v>2257</v>
      </c>
      <c r="J5" s="33">
        <v>2337</v>
      </c>
      <c r="K5" s="36">
        <f t="shared" si="0"/>
        <v>14</v>
      </c>
      <c r="L5" s="36">
        <f t="shared" si="1"/>
        <v>-25.699999999999989</v>
      </c>
      <c r="M5" s="36">
        <f t="shared" si="2"/>
        <v>-7.6999999999999886</v>
      </c>
      <c r="N5" s="36">
        <f t="shared" si="3"/>
        <v>39.699999999999989</v>
      </c>
      <c r="O5" s="37">
        <f t="shared" si="4"/>
        <v>32</v>
      </c>
      <c r="P5" s="37">
        <f t="shared" si="5"/>
        <v>-80</v>
      </c>
      <c r="Q5" s="38">
        <f>Table1[[#This Row],[aGF]]^2/(Table1[[#This Row],[aGF]]^2+Table1[[#This Row],[aGA]]^2)*100</f>
        <v>59.329126080395113</v>
      </c>
      <c r="R5" s="38">
        <f t="shared" si="9"/>
        <v>62.768435252503444</v>
      </c>
      <c r="S5" s="38">
        <f>Table1[[#This Row],[xGF]]^2/(Table1[[#This Row],[xGF]]^2+Table1[[#This Row],[xGA]]^2)*100</f>
        <v>47.811682994190491</v>
      </c>
      <c r="T5" s="38">
        <f t="shared" si="6"/>
        <v>54.425861912673142</v>
      </c>
      <c r="U5" s="38">
        <f t="shared" si="7"/>
        <v>3.531564747496553</v>
      </c>
      <c r="V5" s="39">
        <f>Table1[[#This Row],[PTS%]]-Table1[[#This Row],[PyThagWin%]]</f>
        <v>6.9708739196048839</v>
      </c>
      <c r="W5" s="76">
        <f>Table1[[#This Row],[PTS%]]-Table1[[#This Row],[XGDiffPythag]]</f>
        <v>18.488317005809506</v>
      </c>
      <c r="X5" s="76">
        <f>Table1[[#This Row],[PTS%]]-Table1[[#This Row],[XGDiffPts%]]</f>
        <v>11.874138087326855</v>
      </c>
      <c r="Y5" s="76">
        <f>Table1[[#This Row],[PyThagWin%]]-Table1[[#This Row],[XGDiffPythag]]</f>
        <v>11.517443086204622</v>
      </c>
      <c r="Z5" s="76">
        <f t="shared" si="8"/>
        <v>0.1941279746915146</v>
      </c>
      <c r="AA5" s="3" t="s">
        <v>3</v>
      </c>
      <c r="AB5" s="1">
        <f>AVERAGE(D:D)</f>
        <v>169.45000000000002</v>
      </c>
    </row>
    <row r="6" spans="1:28" ht="19" x14ac:dyDescent="0.35">
      <c r="A6" s="31">
        <v>5</v>
      </c>
      <c r="B6" s="32" t="s">
        <v>12</v>
      </c>
      <c r="C6" s="33">
        <v>166.7</v>
      </c>
      <c r="D6" s="33">
        <v>168.4</v>
      </c>
      <c r="E6" s="34">
        <f>100*0.654</f>
        <v>65.400000000000006</v>
      </c>
      <c r="F6" s="35">
        <v>182</v>
      </c>
      <c r="G6" s="35">
        <v>158</v>
      </c>
      <c r="H6" s="33">
        <v>101.6</v>
      </c>
      <c r="I6" s="33">
        <v>2127</v>
      </c>
      <c r="J6" s="33">
        <v>2256</v>
      </c>
      <c r="K6" s="36">
        <f t="shared" si="0"/>
        <v>15.300000000000011</v>
      </c>
      <c r="L6" s="36">
        <f t="shared" si="1"/>
        <v>-10.400000000000006</v>
      </c>
      <c r="M6" s="36">
        <f t="shared" si="2"/>
        <v>-1.7000000000000171</v>
      </c>
      <c r="N6" s="36">
        <f t="shared" si="3"/>
        <v>25.700000000000017</v>
      </c>
      <c r="O6" s="37">
        <f t="shared" si="4"/>
        <v>24</v>
      </c>
      <c r="P6" s="37">
        <f t="shared" si="5"/>
        <v>-129</v>
      </c>
      <c r="Q6" s="38">
        <f>Table1[[#This Row],[aGF]]^2/(Table1[[#This Row],[aGF]]^2+Table1[[#This Row],[aGA]]^2)*100</f>
        <v>57.023825919294865</v>
      </c>
      <c r="R6" s="38">
        <f t="shared" si="9"/>
        <v>60.478198287362879</v>
      </c>
      <c r="S6" s="38">
        <f>Table1[[#This Row],[xGF]]^2/(Table1[[#This Row],[xGF]]^2+Table1[[#This Row],[xGA]]^2)*100</f>
        <v>49.492701805691972</v>
      </c>
      <c r="T6" s="38">
        <f t="shared" si="6"/>
        <v>55.867919235040141</v>
      </c>
      <c r="U6" s="38">
        <f t="shared" si="7"/>
        <v>4.9218017126371265</v>
      </c>
      <c r="V6" s="39">
        <f>Table1[[#This Row],[PTS%]]-Table1[[#This Row],[PyThagWin%]]</f>
        <v>8.376174080705141</v>
      </c>
      <c r="W6" s="76">
        <f>Table1[[#This Row],[PTS%]]-Table1[[#This Row],[XGDiffPythag]]</f>
        <v>15.907298194308034</v>
      </c>
      <c r="X6" s="76">
        <f>Table1[[#This Row],[PTS%]]-Table1[[#This Row],[XGDiffPts%]]</f>
        <v>9.5320807649598649</v>
      </c>
      <c r="Y6" s="76">
        <f>Table1[[#This Row],[PyThagWin%]]-Table1[[#This Row],[XGDiffPythag]]</f>
        <v>7.5311241136028926</v>
      </c>
      <c r="Z6" s="76">
        <f t="shared" si="8"/>
        <v>0.13206977946835069</v>
      </c>
      <c r="AA6" s="3" t="s">
        <v>4</v>
      </c>
      <c r="AB6" s="1">
        <f>AVERAGE(E:E)</f>
        <v>56.274999999999991</v>
      </c>
    </row>
    <row r="7" spans="1:28" ht="19" x14ac:dyDescent="0.35">
      <c r="A7" s="31">
        <v>6</v>
      </c>
      <c r="B7" s="32" t="s">
        <v>13</v>
      </c>
      <c r="C7" s="33">
        <v>179.3</v>
      </c>
      <c r="D7" s="33">
        <v>160.30000000000001</v>
      </c>
      <c r="E7" s="34">
        <f>100*0.65</f>
        <v>65</v>
      </c>
      <c r="F7" s="35">
        <v>190</v>
      </c>
      <c r="G7" s="35">
        <v>146</v>
      </c>
      <c r="H7" s="33">
        <v>101.7</v>
      </c>
      <c r="I7" s="33">
        <v>2252</v>
      </c>
      <c r="J7" s="33">
        <v>2137</v>
      </c>
      <c r="K7" s="36">
        <f t="shared" si="0"/>
        <v>10.699999999999989</v>
      </c>
      <c r="L7" s="36">
        <f t="shared" si="1"/>
        <v>-14.300000000000011</v>
      </c>
      <c r="M7" s="36">
        <f t="shared" si="2"/>
        <v>19</v>
      </c>
      <c r="N7" s="36">
        <f t="shared" si="3"/>
        <v>25</v>
      </c>
      <c r="O7" s="37">
        <f t="shared" si="4"/>
        <v>44</v>
      </c>
      <c r="P7" s="37">
        <f t="shared" si="5"/>
        <v>115</v>
      </c>
      <c r="Q7" s="38">
        <f>Table1[[#This Row],[aGF]]^2/(Table1[[#This Row],[aGF]]^2+Table1[[#This Row],[aGA]]^2)*100</f>
        <v>62.874460080813712</v>
      </c>
      <c r="R7" s="38">
        <f t="shared" si="9"/>
        <v>60.363686439105848</v>
      </c>
      <c r="S7" s="38">
        <f>Table1[[#This Row],[xGF]]^2/(Table1[[#This Row],[xGF]]^2+Table1[[#This Row],[xGA]]^2)*100</f>
        <v>55.577359192512077</v>
      </c>
      <c r="T7" s="38">
        <f t="shared" si="6"/>
        <v>60.843016997206298</v>
      </c>
      <c r="U7" s="38">
        <f t="shared" si="7"/>
        <v>4.6363135608941519</v>
      </c>
      <c r="V7" s="39">
        <f>Table1[[#This Row],[PTS%]]-Table1[[#This Row],[PyThagWin%]]</f>
        <v>2.1255399191862878</v>
      </c>
      <c r="W7" s="76">
        <f>Table1[[#This Row],[PTS%]]-Table1[[#This Row],[XGDiffPythag]]</f>
        <v>9.4226408074879231</v>
      </c>
      <c r="X7" s="76">
        <f>Table1[[#This Row],[PTS%]]-Table1[[#This Row],[XGDiffPts%]]</f>
        <v>4.1569830027937016</v>
      </c>
      <c r="Y7" s="76">
        <f>Table1[[#This Row],[PyThagWin%]]-Table1[[#This Row],[XGDiffPythag]]</f>
        <v>7.2971008883016353</v>
      </c>
      <c r="Z7" s="76">
        <f t="shared" si="8"/>
        <v>0.11605826720297138</v>
      </c>
      <c r="AA7" s="3" t="s">
        <v>5</v>
      </c>
      <c r="AB7" s="1">
        <f>AVERAGE(F:F)</f>
        <v>163.28125</v>
      </c>
    </row>
    <row r="8" spans="1:28" ht="19" x14ac:dyDescent="0.35">
      <c r="A8" s="31">
        <v>7</v>
      </c>
      <c r="B8" s="32" t="s">
        <v>14</v>
      </c>
      <c r="C8" s="33">
        <v>171.6</v>
      </c>
      <c r="D8" s="33">
        <v>176.2</v>
      </c>
      <c r="E8" s="34">
        <f>100*0.638</f>
        <v>63.800000000000004</v>
      </c>
      <c r="F8" s="35">
        <v>164</v>
      </c>
      <c r="G8" s="35">
        <v>153</v>
      </c>
      <c r="H8" s="33">
        <v>100.7</v>
      </c>
      <c r="I8" s="33">
        <v>2342</v>
      </c>
      <c r="J8" s="33">
        <v>2351</v>
      </c>
      <c r="K8" s="36">
        <f t="shared" si="0"/>
        <v>-7.5999999999999943</v>
      </c>
      <c r="L8" s="36">
        <f t="shared" si="1"/>
        <v>-23.199999999999989</v>
      </c>
      <c r="M8" s="36">
        <f t="shared" si="2"/>
        <v>-4.5999999999999943</v>
      </c>
      <c r="N8" s="36">
        <f t="shared" si="3"/>
        <v>15.599999999999994</v>
      </c>
      <c r="O8" s="37">
        <f t="shared" si="4"/>
        <v>11</v>
      </c>
      <c r="P8" s="37">
        <f t="shared" si="5"/>
        <v>-9</v>
      </c>
      <c r="Q8" s="38">
        <f>Table1[[#This Row],[aGF]]^2/(Table1[[#This Row],[aGF]]^2+Table1[[#This Row],[aGA]]^2)*100</f>
        <v>53.465858264586032</v>
      </c>
      <c r="R8" s="38">
        <f t="shared" si="9"/>
        <v>58.825955905368609</v>
      </c>
      <c r="S8" s="38">
        <f>Table1[[#This Row],[xGF]]^2/(Table1[[#This Row],[xGF]]^2+Table1[[#This Row],[xGA]]^2)*100</f>
        <v>48.677632122724944</v>
      </c>
      <c r="T8" s="38">
        <f t="shared" si="6"/>
        <v>55.170924862562757</v>
      </c>
      <c r="U8" s="38">
        <f t="shared" si="7"/>
        <v>4.9740440946313953</v>
      </c>
      <c r="V8" s="39">
        <f>Table1[[#This Row],[PTS%]]-Table1[[#This Row],[PyThagWin%]]</f>
        <v>10.334141735413972</v>
      </c>
      <c r="W8" s="76">
        <f>Table1[[#This Row],[PTS%]]-Table1[[#This Row],[XGDiffPythag]]</f>
        <v>15.12236787727506</v>
      </c>
      <c r="X8" s="76">
        <f>Table1[[#This Row],[PTS%]]-Table1[[#This Row],[XGDiffPts%]]</f>
        <v>8.6290751374372476</v>
      </c>
      <c r="Y8" s="76">
        <f>Table1[[#This Row],[PyThagWin%]]-Table1[[#This Row],[XGDiffPythag]]</f>
        <v>4.7882261418610881</v>
      </c>
      <c r="Z8" s="76">
        <f t="shared" si="8"/>
        <v>8.955670585452187E-2</v>
      </c>
      <c r="AA8" s="3" t="s">
        <v>48</v>
      </c>
      <c r="AB8" s="1">
        <f>AVERAGE(G:G)</f>
        <v>163.28125</v>
      </c>
    </row>
    <row r="9" spans="1:28" ht="19" x14ac:dyDescent="0.35">
      <c r="A9" s="31">
        <v>8</v>
      </c>
      <c r="B9" s="32" t="s">
        <v>15</v>
      </c>
      <c r="C9" s="33">
        <v>154.4</v>
      </c>
      <c r="D9" s="33">
        <v>178.9</v>
      </c>
      <c r="E9" s="34">
        <f>100*0.605</f>
        <v>60.5</v>
      </c>
      <c r="F9" s="35">
        <v>178</v>
      </c>
      <c r="G9" s="35">
        <v>150</v>
      </c>
      <c r="H9" s="33">
        <v>101.7</v>
      </c>
      <c r="I9" s="33">
        <v>2190</v>
      </c>
      <c r="J9" s="33">
        <v>2414</v>
      </c>
      <c r="K9" s="36">
        <f t="shared" si="0"/>
        <v>23.599999999999994</v>
      </c>
      <c r="L9" s="36">
        <f t="shared" si="1"/>
        <v>-28.900000000000006</v>
      </c>
      <c r="M9" s="36">
        <f t="shared" si="2"/>
        <v>-24.5</v>
      </c>
      <c r="N9" s="36">
        <f t="shared" si="3"/>
        <v>52.5</v>
      </c>
      <c r="O9" s="37">
        <f t="shared" si="4"/>
        <v>28</v>
      </c>
      <c r="P9" s="37">
        <f t="shared" si="5"/>
        <v>-224</v>
      </c>
      <c r="Q9" s="38">
        <f>Table1[[#This Row],[aGF]]^2/(Table1[[#This Row],[aGF]]^2+Table1[[#This Row],[aGA]]^2)*100</f>
        <v>58.474826517053003</v>
      </c>
      <c r="R9" s="38">
        <f t="shared" si="9"/>
        <v>64.862366192060534</v>
      </c>
      <c r="S9" s="38">
        <f>Table1[[#This Row],[xGF]]^2/(Table1[[#This Row],[xGF]]^2+Table1[[#This Row],[xGA]]^2)*100</f>
        <v>42.688769919797032</v>
      </c>
      <c r="T9" s="38">
        <f t="shared" si="6"/>
        <v>50.388101410045536</v>
      </c>
      <c r="U9" s="38">
        <f t="shared" si="7"/>
        <v>-4.3623661920605343</v>
      </c>
      <c r="V9" s="39">
        <f>Table1[[#This Row],[PTS%]]-Table1[[#This Row],[PyThagWin%]]</f>
        <v>2.0251734829469967</v>
      </c>
      <c r="W9" s="76">
        <f>Table1[[#This Row],[PTS%]]-Table1[[#This Row],[XGDiffPythag]]</f>
        <v>17.811230080202968</v>
      </c>
      <c r="X9" s="76">
        <f>Table1[[#This Row],[PTS%]]-Table1[[#This Row],[XGDiffPts%]]</f>
        <v>10.111898589954464</v>
      </c>
      <c r="Y9" s="76">
        <f>Table1[[#This Row],[PyThagWin%]]-Table1[[#This Row],[XGDiffPythag]]</f>
        <v>15.786056597255971</v>
      </c>
      <c r="Z9" s="76">
        <f t="shared" si="8"/>
        <v>0.26996329082998283</v>
      </c>
      <c r="AA9" s="3" t="s">
        <v>49</v>
      </c>
      <c r="AB9" s="1">
        <f>AVERAGE(H:H)</f>
        <v>100.00312499999998</v>
      </c>
    </row>
    <row r="10" spans="1:28" ht="19" x14ac:dyDescent="0.35">
      <c r="A10" s="31">
        <v>9</v>
      </c>
      <c r="B10" s="32" t="s">
        <v>16</v>
      </c>
      <c r="C10" s="33">
        <v>195.2</v>
      </c>
      <c r="D10" s="33">
        <v>176.6</v>
      </c>
      <c r="E10" s="34">
        <f>100*0.605</f>
        <v>60.5</v>
      </c>
      <c r="F10" s="35">
        <v>196</v>
      </c>
      <c r="G10" s="35">
        <v>168</v>
      </c>
      <c r="H10" s="33">
        <v>101</v>
      </c>
      <c r="I10" s="33">
        <v>2320</v>
      </c>
      <c r="J10" s="33">
        <v>2213</v>
      </c>
      <c r="K10" s="36">
        <f t="shared" si="0"/>
        <v>0.80000000000001137</v>
      </c>
      <c r="L10" s="36">
        <f t="shared" si="1"/>
        <v>-8.5999999999999943</v>
      </c>
      <c r="M10" s="36">
        <f t="shared" si="2"/>
        <v>18.599999999999994</v>
      </c>
      <c r="N10" s="36">
        <f t="shared" si="3"/>
        <v>9.4000000000000057</v>
      </c>
      <c r="O10" s="37">
        <f t="shared" si="4"/>
        <v>28</v>
      </c>
      <c r="P10" s="37">
        <f t="shared" si="5"/>
        <v>107</v>
      </c>
      <c r="Q10" s="38">
        <f>Table1[[#This Row],[aGF]]^2/(Table1[[#This Row],[aGF]]^2+Table1[[#This Row],[aGA]]^2)*100</f>
        <v>57.647058823529406</v>
      </c>
      <c r="R10" s="38">
        <f t="shared" si="9"/>
        <v>57.811708106520648</v>
      </c>
      <c r="S10" s="38">
        <f>Table1[[#This Row],[xGF]]^2/(Table1[[#This Row],[xGF]]^2+Table1[[#This Row],[xGA]]^2)*100</f>
        <v>54.990200691002819</v>
      </c>
      <c r="T10" s="38">
        <f t="shared" si="6"/>
        <v>60.74687984238183</v>
      </c>
      <c r="U10" s="38">
        <f t="shared" si="7"/>
        <v>2.6882918934793523</v>
      </c>
      <c r="V10" s="39">
        <f>Table1[[#This Row],[PTS%]]-Table1[[#This Row],[PyThagWin%]]</f>
        <v>2.8529411764705941</v>
      </c>
      <c r="W10" s="76">
        <f>Table1[[#This Row],[PTS%]]-Table1[[#This Row],[XGDiffPythag]]</f>
        <v>5.5097993089971808</v>
      </c>
      <c r="X10" s="76">
        <f>Table1[[#This Row],[PTS%]]-Table1[[#This Row],[XGDiffPts%]]</f>
        <v>-0.24687984238182992</v>
      </c>
      <c r="Y10" s="76">
        <f>Table1[[#This Row],[PyThagWin%]]-Table1[[#This Row],[XGDiffPythag]]</f>
        <v>2.6568581325265868</v>
      </c>
      <c r="Z10" s="76">
        <f t="shared" si="8"/>
        <v>4.6088355360155084E-2</v>
      </c>
      <c r="AA10" s="3" t="s">
        <v>40</v>
      </c>
      <c r="AB10" s="1">
        <f>AVERAGE(K:K)</f>
        <v>-6.1625000000000005</v>
      </c>
    </row>
    <row r="11" spans="1:28" ht="19" x14ac:dyDescent="0.35">
      <c r="A11" s="31">
        <v>10</v>
      </c>
      <c r="B11" s="32" t="s">
        <v>17</v>
      </c>
      <c r="C11" s="33">
        <v>180.1</v>
      </c>
      <c r="D11" s="33">
        <v>144.30000000000001</v>
      </c>
      <c r="E11" s="34">
        <f>100*0.599</f>
        <v>59.9</v>
      </c>
      <c r="F11" s="35">
        <v>179</v>
      </c>
      <c r="G11" s="35">
        <v>162</v>
      </c>
      <c r="H11" s="33">
        <v>99.5</v>
      </c>
      <c r="I11" s="33">
        <v>2331</v>
      </c>
      <c r="J11" s="33">
        <v>1980</v>
      </c>
      <c r="K11" s="36">
        <f t="shared" si="0"/>
        <v>-1.0999999999999943</v>
      </c>
      <c r="L11" s="36">
        <f t="shared" si="1"/>
        <v>17.699999999999989</v>
      </c>
      <c r="M11" s="36">
        <f t="shared" si="2"/>
        <v>35.799999999999983</v>
      </c>
      <c r="N11" s="36">
        <f t="shared" si="3"/>
        <v>-18.799999999999983</v>
      </c>
      <c r="O11" s="37">
        <f t="shared" si="4"/>
        <v>17</v>
      </c>
      <c r="P11" s="37">
        <f t="shared" si="5"/>
        <v>351</v>
      </c>
      <c r="Q11" s="38">
        <f>Table1[[#This Row],[aGF]]^2/(Table1[[#This Row],[aGF]]^2+Table1[[#This Row],[aGA]]^2)*100</f>
        <v>54.972977610019733</v>
      </c>
      <c r="R11" s="38">
        <f t="shared" si="9"/>
        <v>53.198516505308937</v>
      </c>
      <c r="S11" s="38">
        <f>Table1[[#This Row],[xGF]]^2/(Table1[[#This Row],[xGF]]^2+Table1[[#This Row],[xGA]]^2)*100</f>
        <v>60.902973234319404</v>
      </c>
      <c r="T11" s="38">
        <f t="shared" si="6"/>
        <v>64.880777499833897</v>
      </c>
      <c r="U11" s="38">
        <f t="shared" si="7"/>
        <v>6.7014834946910611</v>
      </c>
      <c r="V11" s="39">
        <f>Table1[[#This Row],[PTS%]]-Table1[[#This Row],[PyThagWin%]]</f>
        <v>4.9270223899802659</v>
      </c>
      <c r="W11" s="76">
        <f>Table1[[#This Row],[PTS%]]-Table1[[#This Row],[XGDiffPythag]]</f>
        <v>-1.0029732343194055</v>
      </c>
      <c r="X11" s="76">
        <f>Table1[[#This Row],[PTS%]]-Table1[[#This Row],[XGDiffPts%]]</f>
        <v>-4.9807774998338985</v>
      </c>
      <c r="Y11" s="76">
        <f>Table1[[#This Row],[PyThagWin%]]-Table1[[#This Row],[XGDiffPythag]]</f>
        <v>-5.9299956242996714</v>
      </c>
      <c r="Z11" s="76">
        <f t="shared" si="8"/>
        <v>0.10787110107746523</v>
      </c>
      <c r="AA11" s="2" t="s">
        <v>41</v>
      </c>
      <c r="AB11" s="1">
        <f>AVERAGE(L:L)</f>
        <v>-6.1687500000000011</v>
      </c>
    </row>
    <row r="12" spans="1:28" ht="19" x14ac:dyDescent="0.35">
      <c r="A12" s="31">
        <v>11</v>
      </c>
      <c r="B12" s="32" t="s">
        <v>18</v>
      </c>
      <c r="C12" s="33">
        <v>159.9</v>
      </c>
      <c r="D12" s="33">
        <v>144.4</v>
      </c>
      <c r="E12" s="34">
        <f>100*0.588</f>
        <v>58.8</v>
      </c>
      <c r="F12" s="35">
        <v>158</v>
      </c>
      <c r="G12" s="35">
        <v>146</v>
      </c>
      <c r="H12" s="33">
        <v>100.6</v>
      </c>
      <c r="I12" s="33">
        <v>2040</v>
      </c>
      <c r="J12" s="33">
        <v>2032</v>
      </c>
      <c r="K12" s="36">
        <f t="shared" si="0"/>
        <v>-1.9000000000000057</v>
      </c>
      <c r="L12" s="36">
        <f t="shared" si="1"/>
        <v>1.5999999999999943</v>
      </c>
      <c r="M12" s="36">
        <f t="shared" si="2"/>
        <v>15.5</v>
      </c>
      <c r="N12" s="36">
        <f t="shared" si="3"/>
        <v>-3.5</v>
      </c>
      <c r="O12" s="37">
        <f t="shared" si="4"/>
        <v>12</v>
      </c>
      <c r="P12" s="37">
        <f t="shared" si="5"/>
        <v>8</v>
      </c>
      <c r="Q12" s="38">
        <f>Table1[[#This Row],[aGF]]^2/(Table1[[#This Row],[aGF]]^2+Table1[[#This Row],[aGA]]^2)*100</f>
        <v>53.941227312013829</v>
      </c>
      <c r="R12" s="38">
        <f t="shared" si="9"/>
        <v>55.701418331498267</v>
      </c>
      <c r="S12" s="38">
        <f>Table1[[#This Row],[xGF]]^2/(Table1[[#This Row],[xGF]]^2+Table1[[#This Row],[xGA]]^2)*100</f>
        <v>55.080476102971666</v>
      </c>
      <c r="T12" s="38">
        <f t="shared" si="6"/>
        <v>60.001816892492215</v>
      </c>
      <c r="U12" s="38">
        <f t="shared" si="7"/>
        <v>3.0985816685017298</v>
      </c>
      <c r="V12" s="39">
        <f>Table1[[#This Row],[PTS%]]-Table1[[#This Row],[PyThagWin%]]</f>
        <v>4.8587726879861677</v>
      </c>
      <c r="W12" s="76">
        <f>Table1[[#This Row],[PTS%]]-Table1[[#This Row],[XGDiffPythag]]</f>
        <v>3.7195238970283313</v>
      </c>
      <c r="X12" s="76">
        <f>Table1[[#This Row],[PTS%]]-Table1[[#This Row],[XGDiffPts%]]</f>
        <v>-1.2018168924922179</v>
      </c>
      <c r="Y12" s="76">
        <f>Table1[[#This Row],[PyThagWin%]]-Table1[[#This Row],[XGDiffPythag]]</f>
        <v>-1.1392487909578364</v>
      </c>
      <c r="Z12" s="76">
        <f t="shared" si="8"/>
        <v>2.1120186687040805E-2</v>
      </c>
      <c r="AA12" s="2" t="s">
        <v>42</v>
      </c>
      <c r="AB12" s="1">
        <f>AVERAGE(M:M)</f>
        <v>-6.2500000000005329E-3</v>
      </c>
    </row>
    <row r="13" spans="1:28" ht="19" x14ac:dyDescent="0.35">
      <c r="A13" s="31">
        <v>12</v>
      </c>
      <c r="B13" s="32" t="s">
        <v>19</v>
      </c>
      <c r="C13" s="33">
        <v>173.8</v>
      </c>
      <c r="D13" s="33">
        <v>169.3</v>
      </c>
      <c r="E13" s="34">
        <f>100*0.574</f>
        <v>57.4</v>
      </c>
      <c r="F13" s="35">
        <v>178</v>
      </c>
      <c r="G13" s="35">
        <v>146</v>
      </c>
      <c r="H13" s="33">
        <v>101.5</v>
      </c>
      <c r="I13" s="33">
        <v>2276</v>
      </c>
      <c r="J13" s="33">
        <v>2280</v>
      </c>
      <c r="K13" s="36">
        <f t="shared" si="0"/>
        <v>4.1999999999999886</v>
      </c>
      <c r="L13" s="36">
        <f t="shared" si="1"/>
        <v>-23.300000000000011</v>
      </c>
      <c r="M13" s="36">
        <f t="shared" si="2"/>
        <v>4.5</v>
      </c>
      <c r="N13" s="36">
        <f t="shared" si="3"/>
        <v>27.5</v>
      </c>
      <c r="O13" s="37">
        <f t="shared" si="4"/>
        <v>32</v>
      </c>
      <c r="P13" s="37">
        <f t="shared" si="5"/>
        <v>-4</v>
      </c>
      <c r="Q13" s="38">
        <f>Table1[[#This Row],[aGF]]^2/(Table1[[#This Row],[aGF]]^2+Table1[[#This Row],[aGA]]^2)*100</f>
        <v>59.781132075471696</v>
      </c>
      <c r="R13" s="38">
        <f t="shared" si="9"/>
        <v>60.772657325738095</v>
      </c>
      <c r="S13" s="38">
        <f>Table1[[#This Row],[xGF]]^2/(Table1[[#This Row],[xGF]]^2+Table1[[#This Row],[xGA]]^2)*100</f>
        <v>51.311345390514141</v>
      </c>
      <c r="T13" s="38">
        <f t="shared" si="6"/>
        <v>57.358045134819378</v>
      </c>
      <c r="U13" s="38">
        <f t="shared" si="7"/>
        <v>-3.3726573257380963</v>
      </c>
      <c r="V13" s="39">
        <f>Table1[[#This Row],[PTS%]]-Table1[[#This Row],[PyThagWin%]]</f>
        <v>-2.3811320754716974</v>
      </c>
      <c r="W13" s="76">
        <f>Table1[[#This Row],[PTS%]]-Table1[[#This Row],[XGDiffPythag]]</f>
        <v>6.0886546094858573</v>
      </c>
      <c r="X13" s="76">
        <f>Table1[[#This Row],[PTS%]]-Table1[[#This Row],[XGDiffPts%]]</f>
        <v>4.195486518062097E-2</v>
      </c>
      <c r="Y13" s="76">
        <f>Table1[[#This Row],[PyThagWin%]]-Table1[[#This Row],[XGDiffPythag]]</f>
        <v>8.4697866849575547</v>
      </c>
      <c r="Z13" s="76">
        <f t="shared" si="8"/>
        <v>0.1416799312911092</v>
      </c>
      <c r="AA13" s="2" t="s">
        <v>43</v>
      </c>
      <c r="AB13" s="1">
        <f>AVERAGE(N:N)</f>
        <v>6.2500000000005329E-3</v>
      </c>
    </row>
    <row r="14" spans="1:28" ht="19" x14ac:dyDescent="0.35">
      <c r="A14" s="31">
        <v>13</v>
      </c>
      <c r="B14" s="32" t="s">
        <v>20</v>
      </c>
      <c r="C14" s="33">
        <v>180.4</v>
      </c>
      <c r="D14" s="33">
        <v>177.5</v>
      </c>
      <c r="E14" s="34">
        <f>100*0.568</f>
        <v>56.8</v>
      </c>
      <c r="F14" s="35">
        <v>173</v>
      </c>
      <c r="G14" s="35">
        <v>161</v>
      </c>
      <c r="H14" s="33">
        <v>100.3</v>
      </c>
      <c r="I14" s="33">
        <v>2382</v>
      </c>
      <c r="J14" s="33">
        <v>2341</v>
      </c>
      <c r="K14" s="36">
        <f t="shared" si="0"/>
        <v>-7.4000000000000057</v>
      </c>
      <c r="L14" s="36">
        <f t="shared" si="1"/>
        <v>-16.5</v>
      </c>
      <c r="M14" s="36">
        <f t="shared" si="2"/>
        <v>2.9000000000000057</v>
      </c>
      <c r="N14" s="36">
        <f t="shared" si="3"/>
        <v>9.0999999999999943</v>
      </c>
      <c r="O14" s="37">
        <f t="shared" si="4"/>
        <v>12</v>
      </c>
      <c r="P14" s="37">
        <f t="shared" si="5"/>
        <v>41</v>
      </c>
      <c r="Q14" s="38">
        <f>Table1[[#This Row],[aGF]]^2/(Table1[[#This Row],[aGF]]^2+Table1[[#This Row],[aGA]]^2)*100</f>
        <v>53.588182632050128</v>
      </c>
      <c r="R14" s="38">
        <f t="shared" si="9"/>
        <v>57.762631600124777</v>
      </c>
      <c r="S14" s="38">
        <f>Table1[[#This Row],[xGF]]^2/(Table1[[#This Row],[xGF]]^2+Table1[[#This Row],[xGA]]^2)*100</f>
        <v>50.81022900555984</v>
      </c>
      <c r="T14" s="38">
        <f t="shared" si="6"/>
        <v>56.973496515521511</v>
      </c>
      <c r="U14" s="38">
        <f t="shared" si="7"/>
        <v>-0.96263160012478011</v>
      </c>
      <c r="V14" s="39">
        <f>Table1[[#This Row],[PTS%]]-Table1[[#This Row],[PyThagWin%]]</f>
        <v>3.2118173679498696</v>
      </c>
      <c r="W14" s="76">
        <f>Table1[[#This Row],[PTS%]]-Table1[[#This Row],[XGDiffPythag]]</f>
        <v>5.9897709944401569</v>
      </c>
      <c r="X14" s="76">
        <f>Table1[[#This Row],[PTS%]]-Table1[[#This Row],[XGDiffPts%]]</f>
        <v>-0.17349651552151357</v>
      </c>
      <c r="Y14" s="76">
        <f>Table1[[#This Row],[PyThagWin%]]-Table1[[#This Row],[XGDiffPythag]]</f>
        <v>2.7779536264902873</v>
      </c>
      <c r="Z14" s="76">
        <f t="shared" si="8"/>
        <v>5.1838922128865837E-2</v>
      </c>
      <c r="AA14" s="2" t="s">
        <v>50</v>
      </c>
      <c r="AB14" s="1">
        <f>AVERAGE(O:O)</f>
        <v>0</v>
      </c>
    </row>
    <row r="15" spans="1:28" ht="19" x14ac:dyDescent="0.35">
      <c r="A15" s="31">
        <v>14</v>
      </c>
      <c r="B15" s="32" t="s">
        <v>21</v>
      </c>
      <c r="C15" s="33">
        <v>167.4</v>
      </c>
      <c r="D15" s="33">
        <v>181</v>
      </c>
      <c r="E15" s="34">
        <f>100*0.562</f>
        <v>56.2</v>
      </c>
      <c r="F15" s="35">
        <v>145</v>
      </c>
      <c r="G15" s="35">
        <v>157</v>
      </c>
      <c r="H15" s="33">
        <v>99.5</v>
      </c>
      <c r="I15" s="33">
        <v>2278</v>
      </c>
      <c r="J15" s="33">
        <v>2249</v>
      </c>
      <c r="K15" s="36">
        <f t="shared" si="0"/>
        <v>-22.400000000000006</v>
      </c>
      <c r="L15" s="36">
        <f t="shared" si="1"/>
        <v>-24</v>
      </c>
      <c r="M15" s="36">
        <f t="shared" si="2"/>
        <v>-13.599999999999994</v>
      </c>
      <c r="N15" s="36">
        <f t="shared" si="3"/>
        <v>1.5999999999999943</v>
      </c>
      <c r="O15" s="37">
        <f t="shared" si="4"/>
        <v>-12</v>
      </c>
      <c r="P15" s="37">
        <f t="shared" si="5"/>
        <v>29</v>
      </c>
      <c r="Q15" s="38">
        <f>Table1[[#This Row],[aGF]]^2/(Table1[[#This Row],[aGF]]^2+Table1[[#This Row],[aGA]]^2)*100</f>
        <v>46.032753864342951</v>
      </c>
      <c r="R15" s="38">
        <f t="shared" si="9"/>
        <v>56.535718940228044</v>
      </c>
      <c r="S15" s="38">
        <f>Table1[[#This Row],[xGF]]^2/(Table1[[#This Row],[xGF]]^2+Table1[[#This Row],[xGA]]^2)*100</f>
        <v>46.102379977809868</v>
      </c>
      <c r="T15" s="38">
        <f t="shared" si="6"/>
        <v>53.007838879012255</v>
      </c>
      <c r="U15" s="38">
        <f t="shared" si="7"/>
        <v>-0.33571894022804116</v>
      </c>
      <c r="V15" s="39">
        <f>Table1[[#This Row],[PTS%]]-Table1[[#This Row],[PyThagWin%]]</f>
        <v>10.167246135657052</v>
      </c>
      <c r="W15" s="76">
        <f>Table1[[#This Row],[PTS%]]-Table1[[#This Row],[XGDiffPythag]]</f>
        <v>10.097620022190135</v>
      </c>
      <c r="X15" s="76">
        <f>Table1[[#This Row],[PTS%]]-Table1[[#This Row],[XGDiffPts%]]</f>
        <v>3.1921611209877483</v>
      </c>
      <c r="Y15" s="76">
        <f>Table1[[#This Row],[PyThagWin%]]-Table1[[#This Row],[XGDiffPythag]]</f>
        <v>-6.9626113466917161E-2</v>
      </c>
      <c r="Z15" s="76">
        <f t="shared" si="8"/>
        <v>1.5125341766886917E-3</v>
      </c>
      <c r="AA15" s="2" t="s">
        <v>51</v>
      </c>
      <c r="AB15" s="1">
        <f>AVERAGE(P:P)</f>
        <v>0</v>
      </c>
    </row>
    <row r="16" spans="1:28" ht="19" x14ac:dyDescent="0.35">
      <c r="A16" s="31">
        <v>15</v>
      </c>
      <c r="B16" s="32" t="s">
        <v>22</v>
      </c>
      <c r="C16" s="33">
        <v>166.1</v>
      </c>
      <c r="D16" s="33">
        <v>168</v>
      </c>
      <c r="E16" s="34">
        <f>100*0.569</f>
        <v>56.899999999999991</v>
      </c>
      <c r="F16" s="35">
        <v>139</v>
      </c>
      <c r="G16" s="35">
        <v>159</v>
      </c>
      <c r="H16" s="33">
        <v>99.1</v>
      </c>
      <c r="I16" s="33">
        <v>2258</v>
      </c>
      <c r="J16" s="33">
        <v>2225</v>
      </c>
      <c r="K16" s="36">
        <f t="shared" si="0"/>
        <v>-27.099999999999994</v>
      </c>
      <c r="L16" s="36">
        <f t="shared" si="1"/>
        <v>-9</v>
      </c>
      <c r="M16" s="36">
        <f t="shared" si="2"/>
        <v>-1.9000000000000057</v>
      </c>
      <c r="N16" s="36">
        <f t="shared" si="3"/>
        <v>-18.099999999999994</v>
      </c>
      <c r="O16" s="37">
        <f t="shared" si="4"/>
        <v>-20</v>
      </c>
      <c r="P16" s="37">
        <f t="shared" si="5"/>
        <v>33</v>
      </c>
      <c r="Q16" s="38">
        <f>Table1[[#This Row],[aGF]]^2/(Table1[[#This Row],[aGF]]^2+Table1[[#This Row],[aGA]]^2)*100</f>
        <v>43.318685260750641</v>
      </c>
      <c r="R16" s="38">
        <f t="shared" si="9"/>
        <v>53.313028353565961</v>
      </c>
      <c r="S16" s="38">
        <f>Table1[[#This Row],[xGF]]^2/(Table1[[#This Row],[xGF]]^2+Table1[[#This Row],[xGA]]^2)*100</f>
        <v>49.431326383126859</v>
      </c>
      <c r="T16" s="38">
        <f t="shared" si="6"/>
        <v>55.81985065762791</v>
      </c>
      <c r="U16" s="38">
        <f t="shared" si="7"/>
        <v>3.58697164643403</v>
      </c>
      <c r="V16" s="39">
        <f>Table1[[#This Row],[PTS%]]-Table1[[#This Row],[PyThagWin%]]</f>
        <v>13.581314739249351</v>
      </c>
      <c r="W16" s="76">
        <f>Table1[[#This Row],[PTS%]]-Table1[[#This Row],[XGDiffPythag]]</f>
        <v>7.4686736168731329</v>
      </c>
      <c r="X16" s="76">
        <f>Table1[[#This Row],[PTS%]]-Table1[[#This Row],[XGDiffPts%]]</f>
        <v>1.0801493423720814</v>
      </c>
      <c r="Y16" s="76">
        <f>Table1[[#This Row],[PyThagWin%]]-Table1[[#This Row],[XGDiffPythag]]</f>
        <v>-6.1126411223762176</v>
      </c>
      <c r="Z16" s="76">
        <f t="shared" si="8"/>
        <v>0.14110864827919053</v>
      </c>
    </row>
    <row r="17" spans="1:26" ht="19" x14ac:dyDescent="0.35">
      <c r="A17" s="31">
        <v>16</v>
      </c>
      <c r="B17" s="32" t="s">
        <v>23</v>
      </c>
      <c r="C17" s="33">
        <v>176.5</v>
      </c>
      <c r="D17" s="33">
        <v>144.4</v>
      </c>
      <c r="E17" s="34">
        <f>100*0.569</f>
        <v>56.899999999999991</v>
      </c>
      <c r="F17" s="35">
        <v>168</v>
      </c>
      <c r="G17" s="35">
        <v>170</v>
      </c>
      <c r="H17" s="33">
        <v>98.3</v>
      </c>
      <c r="I17" s="33">
        <v>2313</v>
      </c>
      <c r="J17" s="33">
        <v>1953</v>
      </c>
      <c r="K17" s="36">
        <f t="shared" si="0"/>
        <v>-8.5</v>
      </c>
      <c r="L17" s="36">
        <f t="shared" si="1"/>
        <v>25.599999999999994</v>
      </c>
      <c r="M17" s="36">
        <f t="shared" si="2"/>
        <v>32.099999999999994</v>
      </c>
      <c r="N17" s="36">
        <f t="shared" si="3"/>
        <v>-34.099999999999994</v>
      </c>
      <c r="O17" s="37">
        <f t="shared" si="4"/>
        <v>-2</v>
      </c>
      <c r="P17" s="37">
        <f t="shared" si="5"/>
        <v>360</v>
      </c>
      <c r="Q17" s="38">
        <f>Table1[[#This Row],[aGF]]^2/(Table1[[#This Row],[aGF]]^2+Table1[[#This Row],[aGA]]^2)*100</f>
        <v>49.408304740564382</v>
      </c>
      <c r="R17" s="38">
        <f t="shared" si="9"/>
        <v>50.695614679119601</v>
      </c>
      <c r="S17" s="38">
        <f>Table1[[#This Row],[xGF]]^2/(Table1[[#This Row],[xGF]]^2+Table1[[#This Row],[xGA]]^2)*100</f>
        <v>59.904014355926435</v>
      </c>
      <c r="T17" s="38">
        <f t="shared" si="6"/>
        <v>63.991508817707583</v>
      </c>
      <c r="U17" s="38">
        <f t="shared" si="7"/>
        <v>6.204385320880391</v>
      </c>
      <c r="V17" s="39">
        <f>Table1[[#This Row],[PTS%]]-Table1[[#This Row],[PyThagWin%]]</f>
        <v>7.491695259435609</v>
      </c>
      <c r="W17" s="76">
        <f>Table1[[#This Row],[PTS%]]-Table1[[#This Row],[XGDiffPythag]]</f>
        <v>-3.0040143559264436</v>
      </c>
      <c r="X17" s="76">
        <f>Table1[[#This Row],[PTS%]]-Table1[[#This Row],[XGDiffPts%]]</f>
        <v>-7.0915088177075916</v>
      </c>
      <c r="Y17" s="76">
        <f>Table1[[#This Row],[PyThagWin%]]-Table1[[#This Row],[XGDiffPythag]]</f>
        <v>-10.495709615362053</v>
      </c>
      <c r="Z17" s="76">
        <f t="shared" si="8"/>
        <v>0.21242804565899304</v>
      </c>
    </row>
    <row r="18" spans="1:26" ht="19" x14ac:dyDescent="0.35">
      <c r="A18" s="31">
        <v>17</v>
      </c>
      <c r="B18" s="32" t="s">
        <v>24</v>
      </c>
      <c r="C18" s="33">
        <v>186.6</v>
      </c>
      <c r="D18" s="33">
        <v>170.3</v>
      </c>
      <c r="E18" s="34">
        <f>100*0.563</f>
        <v>56.3</v>
      </c>
      <c r="F18" s="35">
        <v>170</v>
      </c>
      <c r="G18" s="35">
        <v>186</v>
      </c>
      <c r="H18" s="33">
        <v>98.4</v>
      </c>
      <c r="I18" s="33">
        <v>2373</v>
      </c>
      <c r="J18" s="33">
        <v>2144</v>
      </c>
      <c r="K18" s="36">
        <f t="shared" si="0"/>
        <v>-16.599999999999994</v>
      </c>
      <c r="L18" s="36">
        <f t="shared" si="1"/>
        <v>15.699999999999989</v>
      </c>
      <c r="M18" s="36">
        <f t="shared" si="2"/>
        <v>16.299999999999983</v>
      </c>
      <c r="N18" s="36">
        <f t="shared" si="3"/>
        <v>-32.299999999999983</v>
      </c>
      <c r="O18" s="37">
        <f t="shared" si="4"/>
        <v>-16</v>
      </c>
      <c r="P18" s="37">
        <f t="shared" si="5"/>
        <v>229</v>
      </c>
      <c r="Q18" s="38">
        <f>Table1[[#This Row],[aGF]]^2/(Table1[[#This Row],[aGF]]^2+Table1[[#This Row],[aGA]]^2)*100</f>
        <v>45.514678089958423</v>
      </c>
      <c r="R18" s="38">
        <f t="shared" si="9"/>
        <v>50.990073717494816</v>
      </c>
      <c r="S18" s="38">
        <f>Table1[[#This Row],[xGF]]^2/(Table1[[#This Row],[xGF]]^2+Table1[[#This Row],[xGA]]^2)*100</f>
        <v>54.557599184602715</v>
      </c>
      <c r="T18" s="38">
        <f t="shared" si="6"/>
        <v>60.194091202141145</v>
      </c>
      <c r="U18" s="38">
        <f t="shared" si="7"/>
        <v>5.309926282505181</v>
      </c>
      <c r="V18" s="39">
        <f>Table1[[#This Row],[PTS%]]-Table1[[#This Row],[PyThagWin%]]</f>
        <v>10.785321910041574</v>
      </c>
      <c r="W18" s="76">
        <f>Table1[[#This Row],[PTS%]]-Table1[[#This Row],[XGDiffPythag]]</f>
        <v>1.7424008153972821</v>
      </c>
      <c r="X18" s="76">
        <f>Table1[[#This Row],[PTS%]]-Table1[[#This Row],[XGDiffPts%]]</f>
        <v>-3.8940912021411478</v>
      </c>
      <c r="Y18" s="76">
        <f>Table1[[#This Row],[PyThagWin%]]-Table1[[#This Row],[XGDiffPythag]]</f>
        <v>-9.0429210946442922</v>
      </c>
      <c r="Z18" s="76">
        <f t="shared" si="8"/>
        <v>0.19868142485312595</v>
      </c>
    </row>
    <row r="19" spans="1:26" ht="19" x14ac:dyDescent="0.35">
      <c r="A19" s="31">
        <v>18</v>
      </c>
      <c r="B19" s="32" t="s">
        <v>25</v>
      </c>
      <c r="C19" s="33">
        <v>179.9</v>
      </c>
      <c r="D19" s="33">
        <v>176</v>
      </c>
      <c r="E19" s="34">
        <f>100*0.563</f>
        <v>56.3</v>
      </c>
      <c r="F19" s="35">
        <v>167</v>
      </c>
      <c r="G19" s="35">
        <v>185</v>
      </c>
      <c r="H19" s="33">
        <v>98.6</v>
      </c>
      <c r="I19" s="33">
        <v>2449</v>
      </c>
      <c r="J19" s="33">
        <v>2285</v>
      </c>
      <c r="K19" s="36">
        <f t="shared" si="0"/>
        <v>-12.900000000000006</v>
      </c>
      <c r="L19" s="36">
        <f t="shared" si="1"/>
        <v>9</v>
      </c>
      <c r="M19" s="36">
        <f t="shared" si="2"/>
        <v>3.9000000000000057</v>
      </c>
      <c r="N19" s="36">
        <f t="shared" si="3"/>
        <v>-21.900000000000006</v>
      </c>
      <c r="O19" s="37">
        <f t="shared" si="4"/>
        <v>-18</v>
      </c>
      <c r="P19" s="37">
        <f t="shared" si="5"/>
        <v>164</v>
      </c>
      <c r="Q19" s="38">
        <f>Table1[[#This Row],[aGF]]^2/(Table1[[#This Row],[aGF]]^2+Table1[[#This Row],[aGA]]^2)*100</f>
        <v>44.899700550600507</v>
      </c>
      <c r="R19" s="38">
        <f t="shared" si="9"/>
        <v>52.69139260588495</v>
      </c>
      <c r="S19" s="38">
        <f>Table1[[#This Row],[xGF]]^2/(Table1[[#This Row],[xGF]]^2+Table1[[#This Row],[xGA]]^2)*100</f>
        <v>51.095681860485975</v>
      </c>
      <c r="T19" s="38">
        <f t="shared" si="6"/>
        <v>57.213839402582678</v>
      </c>
      <c r="U19" s="38">
        <f t="shared" si="7"/>
        <v>3.6086073941150474</v>
      </c>
      <c r="V19" s="39">
        <f>Table1[[#This Row],[PTS%]]-Table1[[#This Row],[PyThagWin%]]</f>
        <v>11.40029944939949</v>
      </c>
      <c r="W19" s="76">
        <f>Table1[[#This Row],[PTS%]]-Table1[[#This Row],[XGDiffPythag]]</f>
        <v>5.2043181395140223</v>
      </c>
      <c r="X19" s="76">
        <f>Table1[[#This Row],[PTS%]]-Table1[[#This Row],[XGDiffPts%]]</f>
        <v>-0.91383940258268126</v>
      </c>
      <c r="Y19" s="76">
        <f>Table1[[#This Row],[PyThagWin%]]-Table1[[#This Row],[XGDiffPythag]]</f>
        <v>-6.1959813098854681</v>
      </c>
      <c r="Z19" s="76">
        <f t="shared" si="8"/>
        <v>0.13799604972649646</v>
      </c>
    </row>
    <row r="20" spans="1:26" ht="19" x14ac:dyDescent="0.35">
      <c r="A20" s="31">
        <v>19</v>
      </c>
      <c r="B20" s="32" t="s">
        <v>26</v>
      </c>
      <c r="C20" s="33">
        <v>178.4</v>
      </c>
      <c r="D20" s="33">
        <v>153.6</v>
      </c>
      <c r="E20" s="34">
        <f>100*0.563</f>
        <v>56.3</v>
      </c>
      <c r="F20" s="35">
        <v>180</v>
      </c>
      <c r="G20" s="35">
        <v>158</v>
      </c>
      <c r="H20" s="33">
        <v>100.3</v>
      </c>
      <c r="I20" s="33">
        <v>2215</v>
      </c>
      <c r="J20" s="33">
        <v>2089</v>
      </c>
      <c r="K20" s="36">
        <f t="shared" si="0"/>
        <v>1.5999999999999943</v>
      </c>
      <c r="L20" s="36">
        <f t="shared" si="1"/>
        <v>4.4000000000000057</v>
      </c>
      <c r="M20" s="36">
        <f t="shared" si="2"/>
        <v>24.800000000000011</v>
      </c>
      <c r="N20" s="36">
        <f t="shared" si="3"/>
        <v>-2.8000000000000114</v>
      </c>
      <c r="O20" s="37">
        <f t="shared" si="4"/>
        <v>22</v>
      </c>
      <c r="P20" s="37">
        <f t="shared" si="5"/>
        <v>126</v>
      </c>
      <c r="Q20" s="38">
        <f>Table1[[#This Row],[aGF]]^2/(Table1[[#This Row],[aGF]]^2+Table1[[#This Row],[aGA]]^2)*100</f>
        <v>56.481416916533021</v>
      </c>
      <c r="R20" s="38">
        <f t="shared" si="9"/>
        <v>55.815930179755291</v>
      </c>
      <c r="S20" s="38">
        <f>Table1[[#This Row],[xGF]]^2/(Table1[[#This Row],[xGF]]^2+Table1[[#This Row],[xGA]]^2)*100</f>
        <v>57.428429549732648</v>
      </c>
      <c r="T20" s="38">
        <f t="shared" si="6"/>
        <v>62.237005742161074</v>
      </c>
      <c r="U20" s="38">
        <f t="shared" si="7"/>
        <v>0.4840698202447058</v>
      </c>
      <c r="V20" s="39">
        <f>Table1[[#This Row],[PTS%]]-Table1[[#This Row],[PyThagWin%]]</f>
        <v>-0.18141691653302416</v>
      </c>
      <c r="W20" s="76">
        <f>Table1[[#This Row],[PTS%]]-Table1[[#This Row],[XGDiffPythag]]</f>
        <v>-1.1284295497326511</v>
      </c>
      <c r="X20" s="76">
        <f>Table1[[#This Row],[PTS%]]-Table1[[#This Row],[XGDiffPts%]]</f>
        <v>-5.9370057421610767</v>
      </c>
      <c r="Y20" s="76">
        <f>Table1[[#This Row],[PyThagWin%]]-Table1[[#This Row],[XGDiffPythag]]</f>
        <v>-0.94701263319962692</v>
      </c>
      <c r="Z20" s="76">
        <f t="shared" si="8"/>
        <v>1.6766800213229443E-2</v>
      </c>
    </row>
    <row r="21" spans="1:26" ht="19" x14ac:dyDescent="0.35">
      <c r="A21" s="31">
        <v>20</v>
      </c>
      <c r="B21" s="32" t="s">
        <v>27</v>
      </c>
      <c r="C21" s="33">
        <v>161.19999999999999</v>
      </c>
      <c r="D21" s="33">
        <v>154.69999999999999</v>
      </c>
      <c r="E21" s="34">
        <f>100*0.551</f>
        <v>55.1</v>
      </c>
      <c r="F21" s="35">
        <v>144</v>
      </c>
      <c r="G21" s="35">
        <v>135</v>
      </c>
      <c r="H21" s="33">
        <v>100.1</v>
      </c>
      <c r="I21" s="33">
        <v>2205</v>
      </c>
      <c r="J21" s="33">
        <v>2150</v>
      </c>
      <c r="K21" s="36">
        <f t="shared" si="0"/>
        <v>-17.199999999999989</v>
      </c>
      <c r="L21" s="36">
        <f t="shared" si="1"/>
        <v>-19.699999999999989</v>
      </c>
      <c r="M21" s="36">
        <f t="shared" si="2"/>
        <v>6.5</v>
      </c>
      <c r="N21" s="36">
        <f t="shared" si="3"/>
        <v>2.5</v>
      </c>
      <c r="O21" s="37">
        <f t="shared" si="4"/>
        <v>9</v>
      </c>
      <c r="P21" s="37">
        <f t="shared" si="5"/>
        <v>55</v>
      </c>
      <c r="Q21" s="38">
        <f>Table1[[#This Row],[aGF]]^2/(Table1[[#This Row],[aGF]]^2+Table1[[#This Row],[aGA]]^2)*100</f>
        <v>53.222453222453225</v>
      </c>
      <c r="R21" s="38">
        <f t="shared" si="9"/>
        <v>56.682948459415655</v>
      </c>
      <c r="S21" s="38">
        <f>Table1[[#This Row],[xGF]]^2/(Table1[[#This Row],[xGF]]^2+Table1[[#This Row],[xGA]]^2)*100</f>
        <v>52.056742390899544</v>
      </c>
      <c r="T21" s="38">
        <f t="shared" si="6"/>
        <v>57.838730908941713</v>
      </c>
      <c r="U21" s="38">
        <f t="shared" si="7"/>
        <v>-1.582948459415654</v>
      </c>
      <c r="V21" s="39">
        <f>Table1[[#This Row],[PTS%]]-Table1[[#This Row],[PyThagWin%]]</f>
        <v>1.877546777546776</v>
      </c>
      <c r="W21" s="76">
        <f>Table1[[#This Row],[PTS%]]-Table1[[#This Row],[XGDiffPythag]]</f>
        <v>3.0432576091004577</v>
      </c>
      <c r="X21" s="76">
        <f>Table1[[#This Row],[PTS%]]-Table1[[#This Row],[XGDiffPts%]]</f>
        <v>-2.7387309089417116</v>
      </c>
      <c r="Y21" s="76">
        <f>Table1[[#This Row],[PyThagWin%]]-Table1[[#This Row],[XGDiffPythag]]</f>
        <v>1.1657108315536817</v>
      </c>
      <c r="Z21" s="76">
        <f t="shared" si="8"/>
        <v>2.1902613670989095E-2</v>
      </c>
    </row>
    <row r="22" spans="1:26" ht="19" x14ac:dyDescent="0.35">
      <c r="A22" s="31">
        <v>21</v>
      </c>
      <c r="B22" s="32" t="s">
        <v>28</v>
      </c>
      <c r="C22" s="33">
        <v>178.2</v>
      </c>
      <c r="D22" s="33">
        <v>179.7</v>
      </c>
      <c r="E22" s="34">
        <f>100*0.537</f>
        <v>53.7</v>
      </c>
      <c r="F22" s="35">
        <v>136</v>
      </c>
      <c r="G22" s="35">
        <v>179</v>
      </c>
      <c r="H22" s="33">
        <v>97.6</v>
      </c>
      <c r="I22" s="33">
        <v>2405</v>
      </c>
      <c r="J22" s="33">
        <v>2218</v>
      </c>
      <c r="K22" s="36">
        <f t="shared" si="0"/>
        <v>-42.199999999999989</v>
      </c>
      <c r="L22" s="36">
        <f t="shared" si="1"/>
        <v>-0.69999999999998863</v>
      </c>
      <c r="M22" s="36">
        <f t="shared" si="2"/>
        <v>-1.5</v>
      </c>
      <c r="N22" s="36">
        <f t="shared" si="3"/>
        <v>-41.5</v>
      </c>
      <c r="O22" s="37">
        <f t="shared" si="4"/>
        <v>-43</v>
      </c>
      <c r="P22" s="37">
        <f t="shared" si="5"/>
        <v>187</v>
      </c>
      <c r="Q22" s="38">
        <f>Table1[[#This Row],[aGF]]^2/(Table1[[#This Row],[aGF]]^2+Table1[[#This Row],[aGA]]^2)*100</f>
        <v>36.598927518451831</v>
      </c>
      <c r="R22" s="38">
        <f t="shared" si="9"/>
        <v>49.485060854688157</v>
      </c>
      <c r="S22" s="38">
        <f>Table1[[#This Row],[xGF]]^2/(Table1[[#This Row],[xGF]]^2+Table1[[#This Row],[xGA]]^2)*100</f>
        <v>49.580895878095156</v>
      </c>
      <c r="T22" s="38">
        <f t="shared" si="6"/>
        <v>55.915987812452379</v>
      </c>
      <c r="U22" s="38">
        <f t="shared" si="7"/>
        <v>4.2149391453118454</v>
      </c>
      <c r="V22" s="39">
        <f>Table1[[#This Row],[PTS%]]-Table1[[#This Row],[PyThagWin%]]</f>
        <v>17.101072481548172</v>
      </c>
      <c r="W22" s="76">
        <f>Table1[[#This Row],[PTS%]]-Table1[[#This Row],[XGDiffPythag]]</f>
        <v>4.1191041219048472</v>
      </c>
      <c r="X22" s="76">
        <f>Table1[[#This Row],[PTS%]]-Table1[[#This Row],[XGDiffPts%]]</f>
        <v>-2.2159878124523757</v>
      </c>
      <c r="Y22" s="76">
        <f>Table1[[#This Row],[PyThagWin%]]-Table1[[#This Row],[XGDiffPythag]]</f>
        <v>-12.981968359643325</v>
      </c>
      <c r="Z22" s="76">
        <f t="shared" si="8"/>
        <v>0.35470898301864978</v>
      </c>
    </row>
    <row r="23" spans="1:26" ht="19" x14ac:dyDescent="0.35">
      <c r="A23" s="31">
        <v>22</v>
      </c>
      <c r="B23" s="32" t="s">
        <v>29</v>
      </c>
      <c r="C23" s="33">
        <v>171.8</v>
      </c>
      <c r="D23" s="33">
        <v>186.4</v>
      </c>
      <c r="E23" s="34">
        <f>100*0.538</f>
        <v>53.800000000000004</v>
      </c>
      <c r="F23" s="35">
        <v>148</v>
      </c>
      <c r="G23" s="35">
        <v>175</v>
      </c>
      <c r="H23" s="33">
        <v>99.4</v>
      </c>
      <c r="I23" s="33">
        <v>2235</v>
      </c>
      <c r="J23" s="33">
        <v>2367</v>
      </c>
      <c r="K23" s="36">
        <f t="shared" si="0"/>
        <v>-23.800000000000011</v>
      </c>
      <c r="L23" s="36">
        <f t="shared" si="1"/>
        <v>-11.400000000000006</v>
      </c>
      <c r="M23" s="36">
        <f t="shared" si="2"/>
        <v>-14.599999999999994</v>
      </c>
      <c r="N23" s="36">
        <f t="shared" si="3"/>
        <v>-12.400000000000006</v>
      </c>
      <c r="O23" s="37">
        <f t="shared" si="4"/>
        <v>-27</v>
      </c>
      <c r="P23" s="37">
        <f t="shared" si="5"/>
        <v>-132</v>
      </c>
      <c r="Q23" s="38">
        <f>Table1[[#This Row],[aGF]]^2/(Table1[[#This Row],[aGF]]^2+Table1[[#This Row],[aGA]]^2)*100</f>
        <v>41.698871099773463</v>
      </c>
      <c r="R23" s="38">
        <f t="shared" si="9"/>
        <v>54.245481975087479</v>
      </c>
      <c r="S23" s="38">
        <f>Table1[[#This Row],[xGF]]^2/(Table1[[#This Row],[xGF]]^2+Table1[[#This Row],[xGA]]^2)*100</f>
        <v>45.930824989651455</v>
      </c>
      <c r="T23" s="38">
        <f t="shared" si="6"/>
        <v>52.767495991951094</v>
      </c>
      <c r="U23" s="38">
        <f t="shared" si="7"/>
        <v>-0.44548197508747478</v>
      </c>
      <c r="V23" s="39">
        <f>Table1[[#This Row],[PTS%]]-Table1[[#This Row],[PyThagWin%]]</f>
        <v>12.101128900226541</v>
      </c>
      <c r="W23" s="76">
        <f>Table1[[#This Row],[PTS%]]-Table1[[#This Row],[XGDiffPythag]]</f>
        <v>7.8691750103485489</v>
      </c>
      <c r="X23" s="76">
        <f>Table1[[#This Row],[PTS%]]-Table1[[#This Row],[XGDiffPts%]]</f>
        <v>1.0325040080489103</v>
      </c>
      <c r="Y23" s="76">
        <f>Table1[[#This Row],[PyThagWin%]]-Table1[[#This Row],[XGDiffPythag]]</f>
        <v>-4.2319538898779925</v>
      </c>
      <c r="Z23" s="76">
        <f t="shared" si="8"/>
        <v>0.10148845228332773</v>
      </c>
    </row>
    <row r="24" spans="1:26" ht="19" x14ac:dyDescent="0.35">
      <c r="A24" s="31">
        <v>23</v>
      </c>
      <c r="B24" s="32" t="s">
        <v>30</v>
      </c>
      <c r="C24" s="33">
        <v>157.30000000000001</v>
      </c>
      <c r="D24" s="33">
        <v>164</v>
      </c>
      <c r="E24" s="34">
        <f>100*0.519</f>
        <v>51.9</v>
      </c>
      <c r="F24" s="35">
        <v>152</v>
      </c>
      <c r="G24" s="35">
        <v>161</v>
      </c>
      <c r="H24" s="33">
        <v>100.1</v>
      </c>
      <c r="I24" s="33">
        <v>2087</v>
      </c>
      <c r="J24" s="33">
        <v>2170</v>
      </c>
      <c r="K24" s="36">
        <f t="shared" si="0"/>
        <v>-5.3000000000000114</v>
      </c>
      <c r="L24" s="36">
        <f t="shared" si="1"/>
        <v>-3</v>
      </c>
      <c r="M24" s="36">
        <f t="shared" si="2"/>
        <v>-6.6999999999999886</v>
      </c>
      <c r="N24" s="36">
        <f t="shared" si="3"/>
        <v>-2.3000000000000114</v>
      </c>
      <c r="O24" s="37">
        <f t="shared" si="4"/>
        <v>-9</v>
      </c>
      <c r="P24" s="37">
        <f t="shared" si="5"/>
        <v>-83</v>
      </c>
      <c r="Q24" s="38">
        <f>Table1[[#This Row],[aGF]]^2/(Table1[[#This Row],[aGF]]^2+Table1[[#This Row],[aGA]]^2)*100</f>
        <v>47.126976032636406</v>
      </c>
      <c r="R24" s="38">
        <f t="shared" si="9"/>
        <v>55.897724357081742</v>
      </c>
      <c r="S24" s="38">
        <f>Table1[[#This Row],[xGF]]^2/(Table1[[#This Row],[xGF]]^2+Table1[[#This Row],[xGA]]^2)*100</f>
        <v>47.915627809754938</v>
      </c>
      <c r="T24" s="38">
        <f t="shared" si="6"/>
        <v>54.666204799734309</v>
      </c>
      <c r="U24" s="38">
        <f t="shared" si="7"/>
        <v>-3.9977243570817436</v>
      </c>
      <c r="V24" s="39">
        <f>Table1[[#This Row],[PTS%]]-Table1[[#This Row],[PyThagWin%]]</f>
        <v>4.7730239673635921</v>
      </c>
      <c r="W24" s="76">
        <f>Table1[[#This Row],[PTS%]]-Table1[[#This Row],[XGDiffPythag]]</f>
        <v>3.9843721902450611</v>
      </c>
      <c r="X24" s="76">
        <f>Table1[[#This Row],[PTS%]]-Table1[[#This Row],[XGDiffPts%]]</f>
        <v>-2.7662047997343109</v>
      </c>
      <c r="Y24" s="76">
        <f>Table1[[#This Row],[PyThagWin%]]-Table1[[#This Row],[XGDiffPythag]]</f>
        <v>-0.78865177711853107</v>
      </c>
      <c r="Z24" s="76">
        <f t="shared" si="8"/>
        <v>1.6734614514039122E-2</v>
      </c>
    </row>
    <row r="25" spans="1:26" ht="19" x14ac:dyDescent="0.35">
      <c r="A25" s="31">
        <v>24</v>
      </c>
      <c r="B25" s="32" t="s">
        <v>31</v>
      </c>
      <c r="C25" s="33">
        <v>159.69999999999999</v>
      </c>
      <c r="D25" s="33">
        <v>174.2</v>
      </c>
      <c r="E25" s="34">
        <f>100*0.519</f>
        <v>51.9</v>
      </c>
      <c r="F25" s="35">
        <v>156</v>
      </c>
      <c r="G25" s="35">
        <v>183</v>
      </c>
      <c r="H25" s="33">
        <v>99.9</v>
      </c>
      <c r="I25" s="33">
        <v>2037</v>
      </c>
      <c r="J25" s="33">
        <v>2352</v>
      </c>
      <c r="K25" s="36">
        <f t="shared" si="0"/>
        <v>-3.6999999999999886</v>
      </c>
      <c r="L25" s="36">
        <f t="shared" si="1"/>
        <v>8.8000000000000114</v>
      </c>
      <c r="M25" s="36">
        <f t="shared" si="2"/>
        <v>-14.5</v>
      </c>
      <c r="N25" s="36">
        <f t="shared" si="3"/>
        <v>-12.5</v>
      </c>
      <c r="O25" s="37">
        <f t="shared" si="4"/>
        <v>-27</v>
      </c>
      <c r="P25" s="37">
        <f t="shared" si="5"/>
        <v>-315</v>
      </c>
      <c r="Q25" s="38">
        <f>Table1[[#This Row],[aGF]]^2/(Table1[[#This Row],[aGF]]^2+Table1[[#This Row],[aGA]]^2)*100</f>
        <v>42.085603112840467</v>
      </c>
      <c r="R25" s="38">
        <f t="shared" si="9"/>
        <v>54.229123139622189</v>
      </c>
      <c r="S25" s="38">
        <f>Table1[[#This Row],[xGF]]^2/(Table1[[#This Row],[xGF]]^2+Table1[[#This Row],[xGA]]^2)*100</f>
        <v>45.665556485232784</v>
      </c>
      <c r="T25" s="38">
        <f t="shared" si="6"/>
        <v>52.791530280657206</v>
      </c>
      <c r="U25" s="38">
        <f t="shared" si="7"/>
        <v>-2.3291231396221903</v>
      </c>
      <c r="V25" s="39">
        <f>Table1[[#This Row],[PTS%]]-Table1[[#This Row],[PyThagWin%]]</f>
        <v>9.814396887159532</v>
      </c>
      <c r="W25" s="76">
        <f>Table1[[#This Row],[PTS%]]-Table1[[#This Row],[XGDiffPythag]]</f>
        <v>6.2344435147672144</v>
      </c>
      <c r="X25" s="76">
        <f>Table1[[#This Row],[PTS%]]-Table1[[#This Row],[XGDiffPts%]]</f>
        <v>-0.89153028065720719</v>
      </c>
      <c r="Y25" s="76">
        <f>Table1[[#This Row],[PyThagWin%]]-Table1[[#This Row],[XGDiffPythag]]</f>
        <v>-3.5799533723923176</v>
      </c>
      <c r="Z25" s="76">
        <f t="shared" si="8"/>
        <v>8.506361101191065E-2</v>
      </c>
    </row>
    <row r="26" spans="1:26" ht="19" x14ac:dyDescent="0.35">
      <c r="A26" s="31">
        <v>25</v>
      </c>
      <c r="B26" s="32" t="s">
        <v>32</v>
      </c>
      <c r="C26" s="33">
        <v>160.30000000000001</v>
      </c>
      <c r="D26" s="33">
        <v>164.9</v>
      </c>
      <c r="E26" s="34">
        <f>100*0.5</f>
        <v>50</v>
      </c>
      <c r="F26" s="35">
        <v>152</v>
      </c>
      <c r="G26" s="35">
        <v>178</v>
      </c>
      <c r="H26" s="33">
        <v>98.7</v>
      </c>
      <c r="I26" s="33">
        <v>2248</v>
      </c>
      <c r="J26" s="33">
        <v>2144</v>
      </c>
      <c r="K26" s="36">
        <f t="shared" si="0"/>
        <v>-8.3000000000000114</v>
      </c>
      <c r="L26" s="36">
        <f t="shared" si="1"/>
        <v>13.099999999999994</v>
      </c>
      <c r="M26" s="36">
        <f t="shared" si="2"/>
        <v>-4.5999999999999943</v>
      </c>
      <c r="N26" s="36">
        <f t="shared" si="3"/>
        <v>-21.400000000000006</v>
      </c>
      <c r="O26" s="37">
        <f t="shared" si="4"/>
        <v>-26</v>
      </c>
      <c r="P26" s="37">
        <f t="shared" si="5"/>
        <v>104</v>
      </c>
      <c r="Q26" s="38">
        <f>Table1[[#This Row],[aGF]]^2/(Table1[[#This Row],[aGF]]^2+Table1[[#This Row],[aGA]]^2)*100</f>
        <v>42.169818208366792</v>
      </c>
      <c r="R26" s="38">
        <f t="shared" si="9"/>
        <v>52.773186783211401</v>
      </c>
      <c r="S26" s="38">
        <f>Table1[[#This Row],[xGF]]^2/(Table1[[#This Row],[xGF]]^2+Table1[[#This Row],[xGA]]^2)*100</f>
        <v>48.585768821341659</v>
      </c>
      <c r="T26" s="38">
        <f t="shared" si="6"/>
        <v>55.170924862562757</v>
      </c>
      <c r="U26" s="38">
        <f t="shared" si="7"/>
        <v>-2.7731867832114006</v>
      </c>
      <c r="V26" s="39">
        <f>Table1[[#This Row],[PTS%]]-Table1[[#This Row],[PyThagWin%]]</f>
        <v>7.8301817916332084</v>
      </c>
      <c r="W26" s="76">
        <f>Table1[[#This Row],[PTS%]]-Table1[[#This Row],[XGDiffPythag]]</f>
        <v>1.4142311786583406</v>
      </c>
      <c r="X26" s="76">
        <f>Table1[[#This Row],[PTS%]]-Table1[[#This Row],[XGDiffPts%]]</f>
        <v>-5.1709248625627566</v>
      </c>
      <c r="Y26" s="76">
        <f>Table1[[#This Row],[PyThagWin%]]-Table1[[#This Row],[XGDiffPythag]]</f>
        <v>-6.4159506129748678</v>
      </c>
      <c r="Z26" s="76">
        <f t="shared" si="8"/>
        <v>0.15214556015567307</v>
      </c>
    </row>
    <row r="27" spans="1:26" ht="19" x14ac:dyDescent="0.35">
      <c r="A27" s="31">
        <v>26</v>
      </c>
      <c r="B27" s="32" t="s">
        <v>33</v>
      </c>
      <c r="C27" s="33">
        <v>159</v>
      </c>
      <c r="D27" s="33">
        <v>161</v>
      </c>
      <c r="E27" s="34">
        <f>100*0.506</f>
        <v>50.6</v>
      </c>
      <c r="F27" s="35">
        <v>150</v>
      </c>
      <c r="G27" s="35">
        <v>165</v>
      </c>
      <c r="H27" s="33">
        <v>99.7</v>
      </c>
      <c r="I27" s="33">
        <v>1993</v>
      </c>
      <c r="J27" s="33">
        <v>2195</v>
      </c>
      <c r="K27" s="36">
        <f t="shared" si="0"/>
        <v>-9</v>
      </c>
      <c r="L27" s="36">
        <f t="shared" si="1"/>
        <v>4</v>
      </c>
      <c r="M27" s="36">
        <f t="shared" si="2"/>
        <v>-2</v>
      </c>
      <c r="N27" s="36">
        <f t="shared" si="3"/>
        <v>-13</v>
      </c>
      <c r="O27" s="37">
        <f t="shared" si="4"/>
        <v>-15</v>
      </c>
      <c r="P27" s="37">
        <f t="shared" si="5"/>
        <v>-202</v>
      </c>
      <c r="Q27" s="38">
        <f>Table1[[#This Row],[aGF]]^2/(Table1[[#This Row],[aGF]]^2+Table1[[#This Row],[aGA]]^2)*100</f>
        <v>45.248868778280546</v>
      </c>
      <c r="R27" s="38">
        <f t="shared" si="9"/>
        <v>54.147328962295738</v>
      </c>
      <c r="S27" s="38">
        <f>Table1[[#This Row],[xGF]]^2/(Table1[[#This Row],[xGF]]^2+Table1[[#This Row],[xGA]]^2)*100</f>
        <v>49.375024413108868</v>
      </c>
      <c r="T27" s="38">
        <f t="shared" si="6"/>
        <v>55.795816368921791</v>
      </c>
      <c r="U27" s="38">
        <f t="shared" si="7"/>
        <v>-3.5473289622957367</v>
      </c>
      <c r="V27" s="39">
        <f>Table1[[#This Row],[PTS%]]-Table1[[#This Row],[PyThagWin%]]</f>
        <v>5.3511312217194558</v>
      </c>
      <c r="W27" s="76">
        <f>Table1[[#This Row],[PTS%]]-Table1[[#This Row],[XGDiffPythag]]</f>
        <v>1.2249755868911336</v>
      </c>
      <c r="X27" s="76">
        <f>Table1[[#This Row],[PTS%]]-Table1[[#This Row],[XGDiffPts%]]</f>
        <v>-5.1958163689217898</v>
      </c>
      <c r="Y27" s="76">
        <f>Table1[[#This Row],[PyThagWin%]]-Table1[[#This Row],[XGDiffPythag]]</f>
        <v>-4.1261556348283221</v>
      </c>
      <c r="Z27" s="76">
        <f t="shared" si="8"/>
        <v>9.1188039529705917E-2</v>
      </c>
    </row>
    <row r="28" spans="1:26" ht="19" x14ac:dyDescent="0.35">
      <c r="A28" s="31">
        <v>27</v>
      </c>
      <c r="B28" s="32" t="s">
        <v>34</v>
      </c>
      <c r="C28" s="33">
        <v>150.30000000000001</v>
      </c>
      <c r="D28" s="33">
        <v>171.6</v>
      </c>
      <c r="E28" s="34">
        <f>100*0.5</f>
        <v>50</v>
      </c>
      <c r="F28" s="35">
        <v>150</v>
      </c>
      <c r="G28" s="35">
        <v>151</v>
      </c>
      <c r="H28" s="33">
        <v>101.2</v>
      </c>
      <c r="I28" s="33">
        <v>2021</v>
      </c>
      <c r="J28" s="33">
        <v>2324</v>
      </c>
      <c r="K28" s="36">
        <f t="shared" si="0"/>
        <v>-0.30000000000001137</v>
      </c>
      <c r="L28" s="36">
        <f t="shared" si="1"/>
        <v>-20.599999999999994</v>
      </c>
      <c r="M28" s="36">
        <f t="shared" si="2"/>
        <v>-21.299999999999983</v>
      </c>
      <c r="N28" s="36">
        <f t="shared" si="3"/>
        <v>20.299999999999983</v>
      </c>
      <c r="O28" s="37">
        <f t="shared" si="4"/>
        <v>-1</v>
      </c>
      <c r="P28" s="37">
        <f t="shared" si="5"/>
        <v>-303</v>
      </c>
      <c r="Q28" s="38">
        <f>Table1[[#This Row],[aGF]]^2/(Table1[[#This Row],[aGF]]^2+Table1[[#This Row],[aGA]]^2)*100</f>
        <v>49.667777753250483</v>
      </c>
      <c r="R28" s="38">
        <f t="shared" si="9"/>
        <v>59.594821172237232</v>
      </c>
      <c r="S28" s="38">
        <f>Table1[[#This Row],[xGF]]^2/(Table1[[#This Row],[xGF]]^2+Table1[[#This Row],[xGA]]^2)*100</f>
        <v>43.411883739633517</v>
      </c>
      <c r="T28" s="38">
        <f t="shared" si="6"/>
        <v>51.157198648641277</v>
      </c>
      <c r="U28" s="38">
        <f t="shared" si="7"/>
        <v>-9.5948211722372321</v>
      </c>
      <c r="V28" s="39">
        <f>Table1[[#This Row],[PTS%]]-Table1[[#This Row],[PyThagWin%]]</f>
        <v>0.33222224674951661</v>
      </c>
      <c r="W28" s="76">
        <f>Table1[[#This Row],[PTS%]]-Table1[[#This Row],[XGDiffPythag]]</f>
        <v>6.5881162603664833</v>
      </c>
      <c r="X28" s="76">
        <f>Table1[[#This Row],[PTS%]]-Table1[[#This Row],[XGDiffPts%]]</f>
        <v>-1.1571986486412769</v>
      </c>
      <c r="Y28" s="76">
        <f>Table1[[#This Row],[PyThagWin%]]-Table1[[#This Row],[XGDiffPythag]]</f>
        <v>6.2558940136169667</v>
      </c>
      <c r="Z28" s="76">
        <f t="shared" si="8"/>
        <v>0.12595477987149431</v>
      </c>
    </row>
    <row r="29" spans="1:26" ht="19" x14ac:dyDescent="0.35">
      <c r="A29" s="31">
        <v>28</v>
      </c>
      <c r="B29" s="32" t="s">
        <v>35</v>
      </c>
      <c r="C29" s="33">
        <v>158.69999999999999</v>
      </c>
      <c r="D29" s="33">
        <v>192.5</v>
      </c>
      <c r="E29" s="34">
        <f>100*0.488</f>
        <v>48.8</v>
      </c>
      <c r="F29" s="35">
        <v>166</v>
      </c>
      <c r="G29" s="35">
        <v>202</v>
      </c>
      <c r="H29" s="33">
        <v>100.1</v>
      </c>
      <c r="I29" s="33">
        <v>2112</v>
      </c>
      <c r="J29" s="33">
        <v>2590</v>
      </c>
      <c r="K29" s="36">
        <f t="shared" si="0"/>
        <v>7.3000000000000114</v>
      </c>
      <c r="L29" s="36">
        <f t="shared" si="1"/>
        <v>9.5</v>
      </c>
      <c r="M29" s="36">
        <f t="shared" si="2"/>
        <v>-33.800000000000011</v>
      </c>
      <c r="N29" s="36">
        <f t="shared" si="3"/>
        <v>-2.1999999999999886</v>
      </c>
      <c r="O29" s="37">
        <f t="shared" si="4"/>
        <v>-36</v>
      </c>
      <c r="P29" s="37">
        <f t="shared" si="5"/>
        <v>-478</v>
      </c>
      <c r="Q29" s="38">
        <f>Table1[[#This Row],[aGF]]^2/(Table1[[#This Row],[aGF]]^2+Table1[[#This Row],[aGA]]^2)*100</f>
        <v>40.310122878876534</v>
      </c>
      <c r="R29" s="38">
        <f t="shared" si="9"/>
        <v>55.914083192547032</v>
      </c>
      <c r="S29" s="38">
        <f>Table1[[#This Row],[xGF]]^2/(Table1[[#This Row],[xGF]]^2+Table1[[#This Row],[xGA]]^2)*100</f>
        <v>40.464178976426503</v>
      </c>
      <c r="T29" s="38">
        <f t="shared" si="6"/>
        <v>48.152912560376677</v>
      </c>
      <c r="U29" s="38">
        <f t="shared" si="7"/>
        <v>-7.1140831925470351</v>
      </c>
      <c r="V29" s="39">
        <f>Table1[[#This Row],[PTS%]]-Table1[[#This Row],[PyThagWin%]]</f>
        <v>8.4898771211234632</v>
      </c>
      <c r="W29" s="76">
        <f>Table1[[#This Row],[PTS%]]-Table1[[#This Row],[XGDiffPythag]]</f>
        <v>8.3358210235734944</v>
      </c>
      <c r="X29" s="76">
        <f>Table1[[#This Row],[PTS%]]-Table1[[#This Row],[XGDiffPts%]]</f>
        <v>0.64708743962331994</v>
      </c>
      <c r="Y29" s="76">
        <f>Table1[[#This Row],[PyThagWin%]]-Table1[[#This Row],[XGDiffPythag]]</f>
        <v>-0.15405609754996874</v>
      </c>
      <c r="Z29" s="76">
        <f t="shared" si="8"/>
        <v>3.8217719656393756E-3</v>
      </c>
    </row>
    <row r="30" spans="1:26" ht="19" x14ac:dyDescent="0.35">
      <c r="A30" s="31">
        <v>29</v>
      </c>
      <c r="B30" s="32" t="s">
        <v>36</v>
      </c>
      <c r="C30" s="33">
        <v>164.4</v>
      </c>
      <c r="D30" s="33">
        <v>184.8</v>
      </c>
      <c r="E30" s="34">
        <f>100*0.469</f>
        <v>46.9</v>
      </c>
      <c r="F30" s="35">
        <v>141</v>
      </c>
      <c r="G30" s="35">
        <v>173</v>
      </c>
      <c r="H30" s="33">
        <v>98.6</v>
      </c>
      <c r="I30" s="33">
        <v>2254</v>
      </c>
      <c r="J30" s="33">
        <v>2387</v>
      </c>
      <c r="K30" s="36">
        <f t="shared" si="0"/>
        <v>-23.400000000000006</v>
      </c>
      <c r="L30" s="36">
        <f t="shared" si="1"/>
        <v>-11.800000000000011</v>
      </c>
      <c r="M30" s="36">
        <f t="shared" si="2"/>
        <v>-20.400000000000006</v>
      </c>
      <c r="N30" s="36">
        <f t="shared" si="3"/>
        <v>-11.599999999999994</v>
      </c>
      <c r="O30" s="37">
        <f t="shared" si="4"/>
        <v>-32</v>
      </c>
      <c r="P30" s="37">
        <f t="shared" si="5"/>
        <v>-133</v>
      </c>
      <c r="Q30" s="38">
        <f>Table1[[#This Row],[aGF]]^2/(Table1[[#This Row],[aGF]]^2+Table1[[#This Row],[aGA]]^2)*100</f>
        <v>39.913671953423005</v>
      </c>
      <c r="R30" s="38">
        <f t="shared" si="9"/>
        <v>54.376352658809793</v>
      </c>
      <c r="S30" s="38">
        <f>Table1[[#This Row],[xGF]]^2/(Table1[[#This Row],[xGF]]^2+Table1[[#This Row],[xGA]]^2)*100</f>
        <v>44.177945157114273</v>
      </c>
      <c r="T30" s="38">
        <f t="shared" si="6"/>
        <v>51.373507246996319</v>
      </c>
      <c r="U30" s="38">
        <f t="shared" si="7"/>
        <v>-7.4763526588097946</v>
      </c>
      <c r="V30" s="39">
        <f>Table1[[#This Row],[PTS%]]-Table1[[#This Row],[PyThagWin%]]</f>
        <v>6.9863280465769932</v>
      </c>
      <c r="W30" s="76">
        <f>Table1[[#This Row],[PTS%]]-Table1[[#This Row],[XGDiffPythag]]</f>
        <v>2.7220548428857256</v>
      </c>
      <c r="X30" s="76">
        <f>Table1[[#This Row],[PTS%]]-Table1[[#This Row],[XGDiffPts%]]</f>
        <v>-4.47350724699632</v>
      </c>
      <c r="Y30" s="76">
        <f>Table1[[#This Row],[PyThagWin%]]-Table1[[#This Row],[XGDiffPythag]]</f>
        <v>-4.2642732036912676</v>
      </c>
      <c r="Z30" s="76">
        <f t="shared" si="8"/>
        <v>0.10683740670784268</v>
      </c>
    </row>
    <row r="31" spans="1:26" ht="19" x14ac:dyDescent="0.35">
      <c r="A31" s="31">
        <v>30</v>
      </c>
      <c r="B31" s="32" t="s">
        <v>37</v>
      </c>
      <c r="C31" s="33">
        <v>152.4</v>
      </c>
      <c r="D31" s="33">
        <v>160</v>
      </c>
      <c r="E31" s="34">
        <f>100*0.469</f>
        <v>46.9</v>
      </c>
      <c r="F31" s="35">
        <v>148</v>
      </c>
      <c r="G31" s="35">
        <v>151</v>
      </c>
      <c r="H31" s="33">
        <v>100.8</v>
      </c>
      <c r="I31" s="33">
        <v>2018</v>
      </c>
      <c r="J31" s="33">
        <v>2315</v>
      </c>
      <c r="K31" s="36">
        <f t="shared" si="0"/>
        <v>-4.4000000000000057</v>
      </c>
      <c r="L31" s="36">
        <f t="shared" si="1"/>
        <v>-9</v>
      </c>
      <c r="M31" s="36">
        <f t="shared" si="2"/>
        <v>-7.5999999999999943</v>
      </c>
      <c r="N31" s="36">
        <f t="shared" si="3"/>
        <v>4.5999999999999943</v>
      </c>
      <c r="O31" s="37">
        <f t="shared" si="4"/>
        <v>-3</v>
      </c>
      <c r="P31" s="37">
        <f t="shared" si="5"/>
        <v>-297</v>
      </c>
      <c r="Q31" s="38">
        <f>Table1[[#This Row],[aGF]]^2/(Table1[[#This Row],[aGF]]^2+Table1[[#This Row],[aGA]]^2)*100</f>
        <v>48.996756514931214</v>
      </c>
      <c r="R31" s="38">
        <f t="shared" si="9"/>
        <v>57.026484004186734</v>
      </c>
      <c r="S31" s="38">
        <f>Table1[[#This Row],[xGF]]^2/(Table1[[#This Row],[xGF]]^2+Table1[[#This Row],[xGA]]^2)*100</f>
        <v>47.568660477583968</v>
      </c>
      <c r="T31" s="38">
        <f t="shared" si="6"/>
        <v>54.449896201379261</v>
      </c>
      <c r="U31" s="38">
        <f t="shared" si="7"/>
        <v>-10.126484004186736</v>
      </c>
      <c r="V31" s="39">
        <f>Table1[[#This Row],[PTS%]]-Table1[[#This Row],[PyThagWin%]]</f>
        <v>-2.0967565149312151</v>
      </c>
      <c r="W31" s="76">
        <f>Table1[[#This Row],[PTS%]]-Table1[[#This Row],[XGDiffPythag]]</f>
        <v>-0.66866047758396974</v>
      </c>
      <c r="X31" s="76">
        <f>Table1[[#This Row],[PTS%]]-Table1[[#This Row],[XGDiffPts%]]</f>
        <v>-7.5498962013792621</v>
      </c>
      <c r="Y31" s="76">
        <f>Table1[[#This Row],[PyThagWin%]]-Table1[[#This Row],[XGDiffPythag]]</f>
        <v>1.4280960373472453</v>
      </c>
      <c r="Z31" s="76">
        <f t="shared" si="8"/>
        <v>2.9146746416001006E-2</v>
      </c>
    </row>
    <row r="32" spans="1:26" ht="19" x14ac:dyDescent="0.35">
      <c r="A32" s="31">
        <v>31</v>
      </c>
      <c r="B32" s="32" t="s">
        <v>38</v>
      </c>
      <c r="C32" s="33">
        <v>142.9</v>
      </c>
      <c r="D32" s="33">
        <v>201.8</v>
      </c>
      <c r="E32" s="34">
        <f>100*0.438</f>
        <v>43.8</v>
      </c>
      <c r="F32" s="35">
        <v>146</v>
      </c>
      <c r="G32" s="35">
        <v>192</v>
      </c>
      <c r="H32" s="33">
        <v>99.6</v>
      </c>
      <c r="I32" s="33">
        <v>1975</v>
      </c>
      <c r="J32" s="33">
        <v>2414</v>
      </c>
      <c r="K32" s="36">
        <f t="shared" si="0"/>
        <v>3.0999999999999943</v>
      </c>
      <c r="L32" s="36">
        <f t="shared" si="1"/>
        <v>-9.8000000000000114</v>
      </c>
      <c r="M32" s="36">
        <f t="shared" si="2"/>
        <v>-58.900000000000006</v>
      </c>
      <c r="N32" s="36">
        <f t="shared" si="3"/>
        <v>12.900000000000006</v>
      </c>
      <c r="O32" s="37">
        <f t="shared" si="4"/>
        <v>-46</v>
      </c>
      <c r="P32" s="37">
        <f t="shared" si="5"/>
        <v>-439</v>
      </c>
      <c r="Q32" s="38">
        <f>Table1[[#This Row],[aGF]]^2/(Table1[[#This Row],[aGF]]^2+Table1[[#This Row],[aGA]]^2)*100</f>
        <v>36.638019938123065</v>
      </c>
      <c r="R32" s="38">
        <f t="shared" si="9"/>
        <v>58.384267347805789</v>
      </c>
      <c r="S32" s="38">
        <f>Table1[[#This Row],[xGF]]^2/(Table1[[#This Row],[xGF]]^2+Table1[[#This Row],[xGA]]^2)*100</f>
        <v>33.397433748230597</v>
      </c>
      <c r="T32" s="38">
        <f t="shared" si="6"/>
        <v>42.120306095141387</v>
      </c>
      <c r="U32" s="38">
        <f t="shared" si="7"/>
        <v>-14.584267347805792</v>
      </c>
      <c r="V32" s="39">
        <f>Table1[[#This Row],[PTS%]]-Table1[[#This Row],[PyThagWin%]]</f>
        <v>7.1619800618769318</v>
      </c>
      <c r="W32" s="76">
        <f>Table1[[#This Row],[PTS%]]-Table1[[#This Row],[XGDiffPythag]]</f>
        <v>10.4025662517694</v>
      </c>
      <c r="X32" s="76">
        <f>Table1[[#This Row],[PTS%]]-Table1[[#This Row],[XGDiffPts%]]</f>
        <v>1.6796939048586097</v>
      </c>
      <c r="Y32" s="76">
        <f>Table1[[#This Row],[PyThagWin%]]-Table1[[#This Row],[XGDiffPythag]]</f>
        <v>3.2405861898924684</v>
      </c>
      <c r="Z32" s="76">
        <f t="shared" si="8"/>
        <v>8.8448726087419688E-2</v>
      </c>
    </row>
    <row r="33" spans="1:26" ht="19" x14ac:dyDescent="0.35">
      <c r="A33" s="40">
        <v>32</v>
      </c>
      <c r="B33" s="41" t="s">
        <v>39</v>
      </c>
      <c r="C33" s="42">
        <v>155.19999999999999</v>
      </c>
      <c r="D33" s="42">
        <v>194.4</v>
      </c>
      <c r="E33" s="43">
        <f>100*0.35</f>
        <v>35</v>
      </c>
      <c r="F33" s="35">
        <v>128</v>
      </c>
      <c r="G33" s="35">
        <v>204</v>
      </c>
      <c r="H33" s="42">
        <v>97.8</v>
      </c>
      <c r="I33" s="42">
        <v>2091</v>
      </c>
      <c r="J33" s="42">
        <v>2376</v>
      </c>
      <c r="K33" s="44">
        <f t="shared" si="0"/>
        <v>-27.199999999999989</v>
      </c>
      <c r="L33" s="44">
        <f t="shared" si="1"/>
        <v>9.5999999999999943</v>
      </c>
      <c r="M33" s="44">
        <f t="shared" si="2"/>
        <v>-39.200000000000017</v>
      </c>
      <c r="N33" s="44">
        <f t="shared" si="3"/>
        <v>-36.799999999999983</v>
      </c>
      <c r="O33" s="45">
        <f t="shared" si="4"/>
        <v>-76</v>
      </c>
      <c r="P33" s="45">
        <f t="shared" si="5"/>
        <v>-285</v>
      </c>
      <c r="Q33" s="38">
        <f>Table1[[#This Row],[aGF]]^2/(Table1[[#This Row],[aGF]]^2+Table1[[#This Row],[aGA]]^2)*100</f>
        <v>28.248275862068965</v>
      </c>
      <c r="R33" s="46">
        <f t="shared" si="9"/>
        <v>50.253926121556773</v>
      </c>
      <c r="S33" s="46">
        <f>Table1[[#This Row],[xGF]]^2/(Table1[[#This Row],[xGF]]^2+Table1[[#This Row],[xGA]]^2)*100</f>
        <v>38.926410508351864</v>
      </c>
      <c r="T33" s="46">
        <f t="shared" si="6"/>
        <v>46.855060970246377</v>
      </c>
      <c r="U33" s="46">
        <f t="shared" si="7"/>
        <v>-15.253926121556773</v>
      </c>
      <c r="V33" s="47">
        <f>Table1[[#This Row],[PTS%]]-Table1[[#This Row],[PyThagWin%]]</f>
        <v>6.7517241379310349</v>
      </c>
      <c r="W33" s="76">
        <f>Table1[[#This Row],[PTS%]]-Table1[[#This Row],[XGDiffPythag]]</f>
        <v>-3.9264105083518643</v>
      </c>
      <c r="X33" s="76">
        <f>Table1[[#This Row],[PTS%]]-Table1[[#This Row],[XGDiffPts%]]</f>
        <v>-11.855060970246377</v>
      </c>
      <c r="Y33" s="76">
        <f>Table1[[#This Row],[PyThagWin%]]-Table1[[#This Row],[XGDiffPythag]]</f>
        <v>-10.678134646282899</v>
      </c>
      <c r="Z33" s="76">
        <f t="shared" si="8"/>
        <v>0.37801013762476082</v>
      </c>
    </row>
    <row r="35" spans="1:26" x14ac:dyDescent="0.35">
      <c r="B35" s="10" t="s">
        <v>65</v>
      </c>
    </row>
    <row r="36" spans="1:26" x14ac:dyDescent="0.35">
      <c r="B36" s="9" t="s">
        <v>66</v>
      </c>
    </row>
    <row r="38" spans="1:26" ht="16" thickBot="1" x14ac:dyDescent="0.4"/>
    <row r="39" spans="1:26" ht="19" x14ac:dyDescent="0.35">
      <c r="I39" s="50"/>
    </row>
    <row r="40" spans="1:26" ht="19" x14ac:dyDescent="0.35">
      <c r="I40" s="51"/>
    </row>
    <row r="41" spans="1:26" ht="19" x14ac:dyDescent="0.35">
      <c r="I41" s="51"/>
    </row>
    <row r="42" spans="1:26" ht="19" x14ac:dyDescent="0.35">
      <c r="I42" s="51"/>
    </row>
    <row r="43" spans="1:26" ht="19" x14ac:dyDescent="0.35">
      <c r="I43" s="51"/>
    </row>
    <row r="44" spans="1:26" ht="19" x14ac:dyDescent="0.35">
      <c r="I44" s="51"/>
    </row>
    <row r="45" spans="1:26" ht="19" x14ac:dyDescent="0.35">
      <c r="I45" s="51"/>
    </row>
    <row r="46" spans="1:26" ht="19" x14ac:dyDescent="0.35">
      <c r="I46" s="51"/>
    </row>
    <row r="47" spans="1:26" ht="19" x14ac:dyDescent="0.35">
      <c r="I47" s="51"/>
    </row>
    <row r="48" spans="1:26" ht="19" x14ac:dyDescent="0.35">
      <c r="I48" s="51"/>
    </row>
    <row r="49" spans="9:9" ht="19" x14ac:dyDescent="0.35">
      <c r="I49" s="51"/>
    </row>
    <row r="50" spans="9:9" ht="19" x14ac:dyDescent="0.35">
      <c r="I50" s="51"/>
    </row>
    <row r="51" spans="9:9" ht="19" x14ac:dyDescent="0.35">
      <c r="I51" s="51"/>
    </row>
    <row r="52" spans="9:9" ht="19" x14ac:dyDescent="0.35">
      <c r="I52" s="51"/>
    </row>
    <row r="53" spans="9:9" ht="19" x14ac:dyDescent="0.35">
      <c r="I53" s="51"/>
    </row>
    <row r="54" spans="9:9" ht="19" x14ac:dyDescent="0.35">
      <c r="I54" s="51"/>
    </row>
    <row r="55" spans="9:9" ht="19" x14ac:dyDescent="0.35">
      <c r="I55" s="51"/>
    </row>
    <row r="56" spans="9:9" ht="19" x14ac:dyDescent="0.35">
      <c r="I56" s="51"/>
    </row>
    <row r="57" spans="9:9" ht="19" x14ac:dyDescent="0.35">
      <c r="I57" s="51"/>
    </row>
    <row r="58" spans="9:9" ht="19" x14ac:dyDescent="0.35">
      <c r="I58" s="51"/>
    </row>
    <row r="59" spans="9:9" ht="19" x14ac:dyDescent="0.35">
      <c r="I59" s="51"/>
    </row>
    <row r="60" spans="9:9" ht="19" x14ac:dyDescent="0.35">
      <c r="I60" s="51"/>
    </row>
    <row r="61" spans="9:9" ht="19" x14ac:dyDescent="0.35">
      <c r="I61" s="51"/>
    </row>
    <row r="62" spans="9:9" ht="19" x14ac:dyDescent="0.35">
      <c r="I62" s="51"/>
    </row>
    <row r="63" spans="9:9" ht="19" x14ac:dyDescent="0.35">
      <c r="I63" s="51"/>
    </row>
    <row r="64" spans="9:9" ht="19" x14ac:dyDescent="0.35">
      <c r="I64" s="51"/>
    </row>
    <row r="65" spans="9:9" ht="19" x14ac:dyDescent="0.35">
      <c r="I65" s="51"/>
    </row>
    <row r="66" spans="9:9" ht="19" x14ac:dyDescent="0.35">
      <c r="I66" s="51"/>
    </row>
    <row r="67" spans="9:9" ht="19" x14ac:dyDescent="0.35">
      <c r="I67" s="51"/>
    </row>
    <row r="68" spans="9:9" ht="19" x14ac:dyDescent="0.35">
      <c r="I68" s="51"/>
    </row>
    <row r="69" spans="9:9" ht="19" x14ac:dyDescent="0.35">
      <c r="I69" s="51"/>
    </row>
    <row r="70" spans="9:9" ht="19" x14ac:dyDescent="0.35">
      <c r="I70" s="51"/>
    </row>
    <row r="71" spans="9:9" ht="19.5" thickBot="1" x14ac:dyDescent="0.4">
      <c r="I71" s="52"/>
    </row>
  </sheetData>
  <mergeCells count="1">
    <mergeCell ref="AA1:AB1"/>
  </mergeCells>
  <hyperlinks>
    <hyperlink ref="B2" r:id="rId1" display="https://www.hockey-reference.com/teams/COL/2026.html" xr:uid="{453D1274-1DF4-492B-90C7-347A575F3152}"/>
    <hyperlink ref="B3" r:id="rId2" display="https://www.hockey-reference.com/teams/CAR/2026.html" xr:uid="{40BF0F42-38B7-40F4-8832-0F34A7743A4D}"/>
    <hyperlink ref="B4" r:id="rId3" display="https://www.hockey-reference.com/teams/DAL/2026.html" xr:uid="{4FD4159B-A849-47E7-8D5A-BB67731DCDCE}"/>
    <hyperlink ref="B5" r:id="rId4" display="https://www.hockey-reference.com/teams/BUF/2026.html" xr:uid="{1A2520E4-0900-4AED-A50A-4B0C5C9DDBD6}"/>
    <hyperlink ref="B6" r:id="rId5" display="https://www.hockey-reference.com/teams/MTL/2026.html" xr:uid="{9E7EF973-E70E-4BBE-9164-4891FEF4C819}"/>
    <hyperlink ref="B7" r:id="rId6" display="https://www.hockey-reference.com/teams/TBL/2026.html" xr:uid="{51A46D9E-5C32-4CD5-A30E-4101788A25F4}"/>
    <hyperlink ref="B8" r:id="rId7" display="https://www.hockey-reference.com/teams/MIN/2026.html" xr:uid="{E79B9AB3-5791-4D48-9029-E7651970E139}"/>
    <hyperlink ref="B9" r:id="rId8" display="https://www.hockey-reference.com/teams/BOS/2026.html" xr:uid="{6CA09F95-0956-49D2-94F6-10CC9D5E5E85}"/>
    <hyperlink ref="B10" r:id="rId9" display="https://www.hockey-reference.com/teams/PIT/2026.html" xr:uid="{4615E631-EFF4-4E4B-AD36-7B605B4FC164}"/>
    <hyperlink ref="B11" r:id="rId10" display="https://www.hockey-reference.com/teams/OTT/2026.html" xr:uid="{0E8A33E9-7657-45E6-B41B-ED6D22B28D09}"/>
    <hyperlink ref="B12" r:id="rId11" display="https://www.hockey-reference.com/teams/PHI/2026.html" xr:uid="{139C8E41-B28C-477A-B8BB-C4BA86570E1C}"/>
    <hyperlink ref="B13" r:id="rId12" display="https://www.hockey-reference.com/teams/WSH/2026.html" xr:uid="{C59B300F-9215-434C-804E-2F71C80311FB}"/>
    <hyperlink ref="B14" r:id="rId13" display="https://www.hockey-reference.com/teams/CBJ/2026.html" xr:uid="{A94D0610-26FC-4781-BD32-AFC4F46A9CBF}"/>
    <hyperlink ref="B15" r:id="rId14" display="https://www.hockey-reference.com/teams/NYI/2026.html" xr:uid="{75C4A8D9-AB6B-4F28-B335-01866A5BBB24}"/>
    <hyperlink ref="B16" r:id="rId15" display="https://www.hockey-reference.com/teams/DET/2026.html" xr:uid="{70CEDCF7-56EE-4346-B0E8-4A0E2A95B3DA}"/>
    <hyperlink ref="B17" r:id="rId16" display="https://www.hockey-reference.com/teams/VEG/2026.html" xr:uid="{B96AAC4C-3314-4FEA-B72D-3950CF844640}"/>
    <hyperlink ref="B18" r:id="rId17" display="https://www.hockey-reference.com/teams/EDM/2026.html" xr:uid="{FEB75B4F-BAB3-4ACF-89A1-838D63A56867}"/>
    <hyperlink ref="B19" r:id="rId18" display="https://www.hockey-reference.com/teams/ANA/2026.html" xr:uid="{ED05FD5C-C724-4A7B-BB92-EA28E7EAECEC}"/>
    <hyperlink ref="B20" r:id="rId19" display="https://www.hockey-reference.com/teams/UTA/2026.html" xr:uid="{42B5C66C-1B25-4761-A024-D8FD3D3650D7}"/>
    <hyperlink ref="B21" r:id="rId20" display="https://www.hockey-reference.com/teams/LAK/2026.html" xr:uid="{C4A72299-CC7F-4427-83E0-354EC0F13C31}"/>
    <hyperlink ref="B22" r:id="rId21" display="https://www.hockey-reference.com/teams/NJD/2026.html" xr:uid="{CE03D7CD-366B-4EA9-8254-E9F5D94F4E23}"/>
    <hyperlink ref="B23" r:id="rId22" display="https://www.hockey-reference.com/teams/NSH/2026.html" xr:uid="{37504933-B16E-420A-B872-843188B2B03A}"/>
    <hyperlink ref="B24" r:id="rId23" display="https://www.hockey-reference.com/teams/WPG/2026.html" xr:uid="{6320A29E-5B40-4494-9350-6361F346DC13}"/>
    <hyperlink ref="B25" r:id="rId24" display="https://www.hockey-reference.com/teams/SJS/2026.html" xr:uid="{A8B71259-E46B-4C47-9A07-B6DF5FFBB27A}"/>
    <hyperlink ref="B26" r:id="rId25" display="https://www.hockey-reference.com/teams/FLA/2026.html" xr:uid="{A06479A0-9349-49D4-A782-273B475839FF}"/>
    <hyperlink ref="B27" r:id="rId26" display="https://www.hockey-reference.com/teams/STL/2026.html" xr:uid="{AFDF493D-8784-4664-8EA0-A7C9B34ED683}"/>
    <hyperlink ref="B28" r:id="rId27" display="https://www.hockey-reference.com/teams/SEA/2026.html" xr:uid="{33467C10-9BF5-4087-A9B0-92A415F6F575}"/>
    <hyperlink ref="B29" r:id="rId28" display="https://www.hockey-reference.com/teams/TOR/2026.html" xr:uid="{A709C8FC-3C5D-412B-A09F-423C7283FC8B}"/>
    <hyperlink ref="B30" r:id="rId29" display="https://www.hockey-reference.com/teams/CGY/2026.html" xr:uid="{BC015358-4A78-4EB6-841C-69A53715A871}"/>
    <hyperlink ref="B31" r:id="rId30" display="https://www.hockey-reference.com/teams/NYR/2026.html" xr:uid="{F3976793-4728-4075-8283-CC8F64A677FD}"/>
    <hyperlink ref="B32" r:id="rId31" display="https://www.hockey-reference.com/teams/CHI/2026.html" xr:uid="{1FB2B4F3-07F1-4BC9-A384-C26D2BC547A7}"/>
    <hyperlink ref="B33" r:id="rId32" display="https://www.hockey-reference.com/teams/VAN/2026.html" xr:uid="{AD11AD37-9E3F-43F1-A8B0-9C30DDD01DB1}"/>
  </hyperlinks>
  <pageMargins left="0.7" right="0.7" top="0.75" bottom="0.75" header="0.3" footer="0.3"/>
  <pageSetup paperSize="9" orientation="portrait" r:id="rId33"/>
  <drawing r:id="rId34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F985-51A0-4F74-94D9-F49843E04AAA}">
  <dimension ref="A1:X48"/>
  <sheetViews>
    <sheetView zoomScale="33" workbookViewId="0">
      <selection activeCell="AD21" sqref="AD21"/>
    </sheetView>
  </sheetViews>
  <sheetFormatPr defaultRowHeight="15.5" x14ac:dyDescent="0.35"/>
  <cols>
    <col min="1" max="8" width="17.5" customWidth="1"/>
  </cols>
  <sheetData>
    <row r="1" spans="1:24" ht="18.5" x14ac:dyDescent="0.45">
      <c r="A1" s="5" t="s">
        <v>67</v>
      </c>
    </row>
    <row r="2" spans="1:24" x14ac:dyDescent="0.35">
      <c r="A2" s="11"/>
    </row>
    <row r="4" spans="1:24" x14ac:dyDescent="0.35">
      <c r="A4" s="13" t="s">
        <v>57</v>
      </c>
      <c r="B4" s="14"/>
      <c r="C4" s="14"/>
      <c r="D4" s="8" t="s">
        <v>62</v>
      </c>
      <c r="J4" s="12" t="s">
        <v>70</v>
      </c>
    </row>
    <row r="5" spans="1:24" x14ac:dyDescent="0.35">
      <c r="A5" s="14" t="s">
        <v>58</v>
      </c>
      <c r="B5" s="15">
        <f>SLOPE(Data!E2:E33,Data!M2:M33)</f>
        <v>0.24034288706116697</v>
      </c>
      <c r="C5" s="14"/>
      <c r="D5" s="6" t="s">
        <v>63</v>
      </c>
      <c r="E5" s="6" t="s">
        <v>64</v>
      </c>
      <c r="F5" s="6" t="s">
        <v>59</v>
      </c>
      <c r="G5" s="6" t="s">
        <v>45</v>
      </c>
      <c r="H5" s="6" t="s">
        <v>46</v>
      </c>
      <c r="J5" s="13" t="s">
        <v>42</v>
      </c>
      <c r="K5" s="13" t="s">
        <v>2</v>
      </c>
      <c r="L5" s="13" t="s">
        <v>71</v>
      </c>
      <c r="M5" s="16" t="s">
        <v>72</v>
      </c>
      <c r="N5" s="16" t="s">
        <v>2</v>
      </c>
      <c r="O5" s="16" t="s">
        <v>71</v>
      </c>
      <c r="P5" s="19" t="s">
        <v>55</v>
      </c>
      <c r="Q5" s="19" t="s">
        <v>2</v>
      </c>
      <c r="R5" s="19" t="s">
        <v>71</v>
      </c>
      <c r="S5" s="22" t="s">
        <v>87</v>
      </c>
      <c r="T5" s="22" t="s">
        <v>2</v>
      </c>
      <c r="U5" s="22" t="s">
        <v>71</v>
      </c>
      <c r="V5" s="53" t="s">
        <v>5</v>
      </c>
      <c r="W5" s="53" t="s">
        <v>43</v>
      </c>
      <c r="X5" s="53" t="s">
        <v>71</v>
      </c>
    </row>
    <row r="6" spans="1:24" x14ac:dyDescent="0.35">
      <c r="A6" s="14" t="s">
        <v>47</v>
      </c>
      <c r="B6" s="15">
        <f>INTERCEPT(Data!E2:E33,Data!M2:M33)</f>
        <v>56.276502143044127</v>
      </c>
      <c r="C6" s="14"/>
      <c r="D6">
        <v>1</v>
      </c>
      <c r="E6" t="s">
        <v>42</v>
      </c>
      <c r="F6" s="7">
        <f>B7</f>
        <v>0.70694262710051214</v>
      </c>
      <c r="G6" s="7">
        <f>B8</f>
        <v>0.49976787801177364</v>
      </c>
      <c r="H6" s="7">
        <f>B9</f>
        <v>5.6777306541723096</v>
      </c>
      <c r="J6" s="14">
        <f>Data!M2</f>
        <v>50.5</v>
      </c>
      <c r="K6" s="14">
        <f>Data!E2</f>
        <v>72.8</v>
      </c>
      <c r="L6" s="14">
        <f>$B$6+$B$5*J6</f>
        <v>68.413817939633063</v>
      </c>
      <c r="M6" s="17">
        <f>Data!N2</f>
        <v>34.5</v>
      </c>
      <c r="N6" s="17">
        <f>Data!E2</f>
        <v>72.8</v>
      </c>
      <c r="O6" s="17">
        <f>$B$15+$B$14*M6</f>
        <v>61.917775808308377</v>
      </c>
      <c r="P6" s="20">
        <f>Data!Q2</f>
        <v>73.713926188386836</v>
      </c>
      <c r="Q6" s="20">
        <f>Data!E2</f>
        <v>72.8</v>
      </c>
      <c r="R6" s="20">
        <f>$B$24+$B$23*P6</f>
        <v>73.513638321099606</v>
      </c>
      <c r="S6" s="49">
        <f>Data!S2</f>
        <v>63.946969540153766</v>
      </c>
      <c r="T6" s="23">
        <f>Data!E2</f>
        <v>72.8</v>
      </c>
      <c r="U6" s="23">
        <f>$B$33+$B$32*S6</f>
        <v>67.770448053589462</v>
      </c>
      <c r="V6" s="54">
        <f>'PDO vs Net Luck'!B17</f>
        <v>101.7</v>
      </c>
      <c r="W6" s="54">
        <f>'PDO vs Net Luck'!C17</f>
        <v>34.5</v>
      </c>
      <c r="X6" s="75">
        <f>'PDO vs Net Luck'!D17</f>
        <v>28.366391324555025</v>
      </c>
    </row>
    <row r="7" spans="1:24" x14ac:dyDescent="0.35">
      <c r="A7" s="14" t="s">
        <v>59</v>
      </c>
      <c r="B7" s="15">
        <f>CORREL(Data!E2:E33,Data!M2:M33)</f>
        <v>0.70694262710051214</v>
      </c>
      <c r="C7" s="14"/>
      <c r="D7">
        <v>2</v>
      </c>
      <c r="E7" t="s">
        <v>43</v>
      </c>
      <c r="F7" s="7">
        <f>B16</f>
        <v>0.48143630206953741</v>
      </c>
      <c r="G7" s="7">
        <f>B17</f>
        <v>0.23178091295039088</v>
      </c>
      <c r="H7" s="7">
        <f>B18</f>
        <v>7.0360925732800705</v>
      </c>
      <c r="J7" s="14">
        <f>Data!M3</f>
        <v>37.099999999999994</v>
      </c>
      <c r="K7" s="14">
        <f>Data!E3</f>
        <v>68.8</v>
      </c>
      <c r="L7" s="14">
        <f t="shared" ref="L7:L37" si="0">$B$6+$B$5*J7</f>
        <v>65.193223253013414</v>
      </c>
      <c r="M7" s="17">
        <f>Data!N3</f>
        <v>-15.099999999999994</v>
      </c>
      <c r="N7" s="17">
        <f>Data!E3</f>
        <v>68.8</v>
      </c>
      <c r="O7" s="17">
        <f t="shared" ref="O7:O37" si="1">$B$15+$B$14*M7</f>
        <v>53.803793417524652</v>
      </c>
      <c r="P7" s="20">
        <f>Data!Q3</f>
        <v>56.443609799800143</v>
      </c>
      <c r="Q7" s="20">
        <f>Data!E3</f>
        <v>68.8</v>
      </c>
      <c r="R7" s="20">
        <f t="shared" ref="R7:R37" si="2">$B$24+$B$23*P7</f>
        <v>60.971827554772737</v>
      </c>
      <c r="S7" s="49">
        <f>Data!S3</f>
        <v>60.317891709780135</v>
      </c>
      <c r="T7" s="23">
        <f>Data!E3</f>
        <v>68.8</v>
      </c>
      <c r="U7" s="23">
        <f t="shared" ref="U7:U37" si="3">$B$33+$B$32*S7</f>
        <v>64.773936153935949</v>
      </c>
      <c r="V7" s="54">
        <f>'PDO vs Net Luck'!B18</f>
        <v>98.4</v>
      </c>
      <c r="W7" s="54">
        <f>'PDO vs Net Luck'!C18</f>
        <v>-15.099999999999994</v>
      </c>
      <c r="X7" s="54">
        <f>'PDO vs Net Luck'!D18</f>
        <v>-26.787032687838519</v>
      </c>
    </row>
    <row r="8" spans="1:24" x14ac:dyDescent="0.35">
      <c r="A8" s="14" t="s">
        <v>45</v>
      </c>
      <c r="B8" s="15">
        <f>RSQ(Data!E2:E33,Data!M2:M33)</f>
        <v>0.49976787801177364</v>
      </c>
      <c r="C8" s="14"/>
      <c r="D8">
        <v>3</v>
      </c>
      <c r="E8" t="s">
        <v>55</v>
      </c>
      <c r="F8" s="7">
        <f>B25</f>
        <v>0.86075801701239452</v>
      </c>
      <c r="G8" s="7">
        <f>B26</f>
        <v>0.74090436385110969</v>
      </c>
      <c r="H8" s="7">
        <f>B27</f>
        <v>4.0861946167008467</v>
      </c>
      <c r="J8" s="14">
        <f>Data!M4</f>
        <v>11.400000000000006</v>
      </c>
      <c r="K8" s="14">
        <f>Data!E4</f>
        <v>67.5</v>
      </c>
      <c r="L8" s="14">
        <f t="shared" si="0"/>
        <v>59.016411055541433</v>
      </c>
      <c r="M8" s="17">
        <f>Data!N4</f>
        <v>19.599999999999994</v>
      </c>
      <c r="N8" s="17">
        <f>Data!E4</f>
        <v>67.5</v>
      </c>
      <c r="O8" s="17">
        <f t="shared" si="1"/>
        <v>59.480309323980201</v>
      </c>
      <c r="P8" s="20">
        <f>Data!Q4</f>
        <v>60.393698997567789</v>
      </c>
      <c r="Q8" s="20">
        <f>Data!E4</f>
        <v>67.5</v>
      </c>
      <c r="R8" s="20">
        <f t="shared" si="2"/>
        <v>63.840406804499381</v>
      </c>
      <c r="S8" s="49">
        <f>Data!S4</f>
        <v>53.60974195418963</v>
      </c>
      <c r="T8" s="23">
        <f>Data!E4</f>
        <v>67.5</v>
      </c>
      <c r="U8" s="23">
        <f t="shared" si="3"/>
        <v>59.235049553310112</v>
      </c>
      <c r="V8" s="54">
        <f>'PDO vs Net Luck'!B19</f>
        <v>102.1</v>
      </c>
      <c r="W8" s="54">
        <f>'PDO vs Net Luck'!C19</f>
        <v>19.599999999999994</v>
      </c>
      <c r="X8" s="54">
        <f>'PDO vs Net Luck'!D19</f>
        <v>35.051654841208574</v>
      </c>
    </row>
    <row r="9" spans="1:24" x14ac:dyDescent="0.35">
      <c r="A9" s="14" t="s">
        <v>46</v>
      </c>
      <c r="B9" s="15">
        <f>STEYX(Data!E2:E33,Data!M2:M33)</f>
        <v>5.6777306541723096</v>
      </c>
      <c r="C9" s="14"/>
      <c r="D9">
        <v>4</v>
      </c>
      <c r="E9" t="s">
        <v>5</v>
      </c>
      <c r="F9" s="7">
        <f>B34</f>
        <v>0.69936323657620403</v>
      </c>
      <c r="G9" s="7">
        <f>B35</f>
        <v>0.48910893667434352</v>
      </c>
      <c r="H9" s="7">
        <f>B36</f>
        <v>5.7379023249717651</v>
      </c>
      <c r="J9" s="14">
        <f>Data!M5</f>
        <v>-7.6999999999999886</v>
      </c>
      <c r="K9" s="14">
        <f>Data!E5</f>
        <v>66.3</v>
      </c>
      <c r="L9" s="14">
        <f t="shared" si="0"/>
        <v>54.425861912673142</v>
      </c>
      <c r="M9" s="17">
        <f>Data!N5</f>
        <v>39.699999999999989</v>
      </c>
      <c r="N9" s="17">
        <f>Data!E5</f>
        <v>66.3</v>
      </c>
      <c r="O9" s="17">
        <f t="shared" si="1"/>
        <v>62.768435252503444</v>
      </c>
      <c r="P9" s="20">
        <f>Data!Q5</f>
        <v>59.329126080395113</v>
      </c>
      <c r="Q9" s="20">
        <f>Data!E5</f>
        <v>66.3</v>
      </c>
      <c r="R9" s="20">
        <f t="shared" si="2"/>
        <v>63.067307356074686</v>
      </c>
      <c r="S9" s="49">
        <f>Data!S5</f>
        <v>47.811682994190491</v>
      </c>
      <c r="T9" s="23">
        <f>Data!E5</f>
        <v>66.3</v>
      </c>
      <c r="U9" s="23">
        <f t="shared" si="3"/>
        <v>54.447620492649435</v>
      </c>
      <c r="V9" s="54">
        <f>'PDO vs Net Luck'!B20</f>
        <v>101.5</v>
      </c>
      <c r="W9" s="54">
        <f>'PDO vs Net Luck'!C20</f>
        <v>39.699999999999989</v>
      </c>
      <c r="X9" s="54">
        <f>'PDO vs Net Luck'!D20</f>
        <v>25.023759566227909</v>
      </c>
    </row>
    <row r="10" spans="1:24" x14ac:dyDescent="0.35">
      <c r="A10" s="14" t="s">
        <v>60</v>
      </c>
      <c r="B10" s="14">
        <f>COUNT(Data!E2:E33)</f>
        <v>32</v>
      </c>
      <c r="C10" s="14"/>
      <c r="J10" s="14">
        <f>Data!M6</f>
        <v>-1.7000000000000171</v>
      </c>
      <c r="K10" s="14">
        <f>Data!E6</f>
        <v>65.400000000000006</v>
      </c>
      <c r="L10" s="14">
        <f t="shared" si="0"/>
        <v>55.867919235040141</v>
      </c>
      <c r="M10" s="17">
        <f>Data!N6</f>
        <v>25.700000000000017</v>
      </c>
      <c r="N10" s="17">
        <f>Data!E6</f>
        <v>65.400000000000006</v>
      </c>
      <c r="O10" s="17">
        <f t="shared" si="1"/>
        <v>60.478198287362879</v>
      </c>
      <c r="P10" s="20">
        <f>Data!Q6</f>
        <v>57.023825919294865</v>
      </c>
      <c r="Q10" s="20">
        <f>Data!E6</f>
        <v>65.400000000000006</v>
      </c>
      <c r="R10" s="20">
        <f t="shared" si="2"/>
        <v>61.393184095703532</v>
      </c>
      <c r="S10" s="49">
        <f>Data!S6</f>
        <v>49.492701805691972</v>
      </c>
      <c r="T10" s="23">
        <f>Data!E6</f>
        <v>65.400000000000006</v>
      </c>
      <c r="U10" s="23">
        <f t="shared" si="3"/>
        <v>55.835629542785178</v>
      </c>
      <c r="V10" s="54">
        <f>'PDO vs Net Luck'!B21</f>
        <v>101.6</v>
      </c>
      <c r="W10" s="54">
        <f>'PDO vs Net Luck'!C21</f>
        <v>25.700000000000017</v>
      </c>
      <c r="X10" s="54">
        <f>'PDO vs Net Luck'!D21</f>
        <v>26.695075445391467</v>
      </c>
    </row>
    <row r="11" spans="1:24" x14ac:dyDescent="0.35">
      <c r="A11" s="14" t="s">
        <v>61</v>
      </c>
      <c r="B11" s="14" t="str">
        <f>"PTS% = "&amp;ROUND(B6,4)&amp;" + "&amp;ROUND(B5,4)&amp;" * xGDiff"</f>
        <v>PTS% = 56.2765 + 0.2403 * xGDiff</v>
      </c>
      <c r="C11" s="14"/>
      <c r="J11" s="14">
        <f>Data!M7</f>
        <v>19</v>
      </c>
      <c r="K11" s="14">
        <f>Data!E7</f>
        <v>65</v>
      </c>
      <c r="L11" s="14">
        <f t="shared" si="0"/>
        <v>60.843016997206298</v>
      </c>
      <c r="M11" s="17">
        <f>Data!N7</f>
        <v>25</v>
      </c>
      <c r="N11" s="17">
        <f>Data!E7</f>
        <v>65</v>
      </c>
      <c r="O11" s="17">
        <f t="shared" si="1"/>
        <v>60.363686439105848</v>
      </c>
      <c r="P11" s="20">
        <f>Data!Q7</f>
        <v>62.874460080813712</v>
      </c>
      <c r="Q11" s="20">
        <f>Data!E7</f>
        <v>65</v>
      </c>
      <c r="R11" s="20">
        <f t="shared" si="2"/>
        <v>65.641950873668833</v>
      </c>
      <c r="S11" s="49">
        <f>Data!S7</f>
        <v>55.577359192512077</v>
      </c>
      <c r="T11" s="23">
        <f>Data!E7</f>
        <v>65</v>
      </c>
      <c r="U11" s="23">
        <f t="shared" si="3"/>
        <v>60.859701529426474</v>
      </c>
      <c r="V11" s="54">
        <f>'PDO vs Net Luck'!B22</f>
        <v>101.7</v>
      </c>
      <c r="W11" s="54">
        <f>'PDO vs Net Luck'!C22</f>
        <v>25</v>
      </c>
      <c r="X11" s="54">
        <f>'PDO vs Net Luck'!D22</f>
        <v>28.366391324555025</v>
      </c>
    </row>
    <row r="12" spans="1:24" x14ac:dyDescent="0.35">
      <c r="J12" s="14">
        <f>Data!M8</f>
        <v>-4.5999999999999943</v>
      </c>
      <c r="K12" s="14">
        <f>Data!E8</f>
        <v>63.800000000000004</v>
      </c>
      <c r="L12" s="14">
        <f t="shared" si="0"/>
        <v>55.170924862562757</v>
      </c>
      <c r="M12" s="17">
        <f>Data!N8</f>
        <v>15.599999999999994</v>
      </c>
      <c r="N12" s="17">
        <f>Data!E8</f>
        <v>63.800000000000004</v>
      </c>
      <c r="O12" s="17">
        <f t="shared" si="1"/>
        <v>58.825955905368609</v>
      </c>
      <c r="P12" s="20">
        <f>Data!Q8</f>
        <v>53.465858264586032</v>
      </c>
      <c r="Q12" s="20">
        <f>Data!E8</f>
        <v>63.800000000000004</v>
      </c>
      <c r="R12" s="20">
        <f t="shared" si="2"/>
        <v>58.809365940087119</v>
      </c>
      <c r="S12" s="49">
        <f>Data!S8</f>
        <v>48.677632122724944</v>
      </c>
      <c r="T12" s="23">
        <f>Data!E8</f>
        <v>63.800000000000004</v>
      </c>
      <c r="U12" s="23">
        <f t="shared" si="3"/>
        <v>55.162630472989512</v>
      </c>
      <c r="V12" s="54">
        <f>'PDO vs Net Luck'!B23</f>
        <v>100.7</v>
      </c>
      <c r="W12" s="54">
        <f>'PDO vs Net Luck'!C23</f>
        <v>15.599999999999994</v>
      </c>
      <c r="X12" s="54">
        <f>'PDO vs Net Luck'!D23</f>
        <v>11.653232532920583</v>
      </c>
    </row>
    <row r="13" spans="1:24" x14ac:dyDescent="0.35">
      <c r="A13" s="16" t="s">
        <v>68</v>
      </c>
      <c r="B13" s="17"/>
      <c r="C13" s="17"/>
      <c r="J13" s="14">
        <f>Data!M9</f>
        <v>-24.5</v>
      </c>
      <c r="K13" s="14">
        <f>Data!E9</f>
        <v>60.5</v>
      </c>
      <c r="L13" s="14">
        <f t="shared" si="0"/>
        <v>50.388101410045536</v>
      </c>
      <c r="M13" s="17">
        <f>Data!N9</f>
        <v>52.5</v>
      </c>
      <c r="N13" s="17">
        <f>Data!E9</f>
        <v>60.5</v>
      </c>
      <c r="O13" s="17">
        <f t="shared" si="1"/>
        <v>64.862366192060534</v>
      </c>
      <c r="P13" s="20">
        <f>Data!Q9</f>
        <v>58.474826517053003</v>
      </c>
      <c r="Q13" s="20">
        <f>Data!E9</f>
        <v>60.5</v>
      </c>
      <c r="R13" s="20">
        <f t="shared" si="2"/>
        <v>62.446909720031776</v>
      </c>
      <c r="S13" s="49">
        <f>Data!S9</f>
        <v>42.688769919797032</v>
      </c>
      <c r="T13" s="23">
        <f>Data!E9</f>
        <v>60.5</v>
      </c>
      <c r="U13" s="23">
        <f t="shared" si="3"/>
        <v>50.217656103395719</v>
      </c>
      <c r="V13" s="54">
        <f>'PDO vs Net Luck'!B24</f>
        <v>101.7</v>
      </c>
      <c r="W13" s="54">
        <f>'PDO vs Net Luck'!C24</f>
        <v>52.5</v>
      </c>
      <c r="X13" s="54">
        <f>'PDO vs Net Luck'!D24</f>
        <v>28.366391324555025</v>
      </c>
    </row>
    <row r="14" spans="1:24" x14ac:dyDescent="0.35">
      <c r="A14" s="17" t="s">
        <v>58</v>
      </c>
      <c r="B14" s="18">
        <f>SLOPE(Data!E2:E33,Data!N2:N33)</f>
        <v>0.16358835465289767</v>
      </c>
      <c r="C14" s="17"/>
      <c r="J14" s="14">
        <f>Data!M10</f>
        <v>18.599999999999994</v>
      </c>
      <c r="K14" s="14">
        <f>Data!E10</f>
        <v>60.5</v>
      </c>
      <c r="L14" s="14">
        <f t="shared" si="0"/>
        <v>60.74687984238183</v>
      </c>
      <c r="M14" s="17">
        <f>Data!N10</f>
        <v>9.4000000000000057</v>
      </c>
      <c r="N14" s="17">
        <f>Data!E10</f>
        <v>60.5</v>
      </c>
      <c r="O14" s="17">
        <f t="shared" si="1"/>
        <v>57.811708106520648</v>
      </c>
      <c r="P14" s="20">
        <f>Data!Q10</f>
        <v>57.647058823529406</v>
      </c>
      <c r="Q14" s="20">
        <f>Data!E10</f>
        <v>60.5</v>
      </c>
      <c r="R14" s="20">
        <f t="shared" si="2"/>
        <v>61.845779692239539</v>
      </c>
      <c r="S14" s="49">
        <f>Data!S10</f>
        <v>54.990200691002819</v>
      </c>
      <c r="T14" s="23">
        <f>Data!E10</f>
        <v>60.5</v>
      </c>
      <c r="U14" s="23">
        <f t="shared" si="3"/>
        <v>60.37488761278086</v>
      </c>
      <c r="V14" s="54">
        <f>'PDO vs Net Luck'!B25</f>
        <v>101</v>
      </c>
      <c r="W14" s="54">
        <f>'PDO vs Net Luck'!C25</f>
        <v>9.4000000000000057</v>
      </c>
      <c r="X14" s="54">
        <f>'PDO vs Net Luck'!D25</f>
        <v>16.667180170410802</v>
      </c>
    </row>
    <row r="15" spans="1:24" x14ac:dyDescent="0.35">
      <c r="A15" s="17" t="s">
        <v>47</v>
      </c>
      <c r="B15" s="18">
        <f>INTERCEPT(Data!E2:E33,Data!N2:N33)</f>
        <v>56.273977572783409</v>
      </c>
      <c r="C15" s="17"/>
      <c r="J15" s="14">
        <f>Data!M11</f>
        <v>35.799999999999983</v>
      </c>
      <c r="K15" s="14">
        <f>Data!E11</f>
        <v>59.9</v>
      </c>
      <c r="L15" s="14">
        <f t="shared" si="0"/>
        <v>64.880777499833897</v>
      </c>
      <c r="M15" s="17">
        <f>Data!N11</f>
        <v>-18.799999999999983</v>
      </c>
      <c r="N15" s="17">
        <f>Data!E11</f>
        <v>59.9</v>
      </c>
      <c r="O15" s="17">
        <f t="shared" si="1"/>
        <v>53.198516505308937</v>
      </c>
      <c r="P15" s="20">
        <f>Data!Q11</f>
        <v>54.972977610019733</v>
      </c>
      <c r="Q15" s="20">
        <f>Data!E11</f>
        <v>59.9</v>
      </c>
      <c r="R15" s="20">
        <f t="shared" si="2"/>
        <v>59.903845346682793</v>
      </c>
      <c r="S15" s="49">
        <f>Data!S11</f>
        <v>60.902973234319404</v>
      </c>
      <c r="T15" s="23">
        <f>Data!E11</f>
        <v>59.9</v>
      </c>
      <c r="U15" s="23">
        <f t="shared" si="3"/>
        <v>65.25703512080733</v>
      </c>
      <c r="V15" s="54">
        <f>'PDO vs Net Luck'!B26</f>
        <v>99.5</v>
      </c>
      <c r="W15" s="54">
        <f>'PDO vs Net Luck'!C26</f>
        <v>-18.799999999999983</v>
      </c>
      <c r="X15" s="54">
        <f>'PDO vs Net Luck'!D26</f>
        <v>-8.4025580170407466</v>
      </c>
    </row>
    <row r="16" spans="1:24" x14ac:dyDescent="0.35">
      <c r="A16" s="17" t="s">
        <v>59</v>
      </c>
      <c r="B16" s="18">
        <f>CORREL(Data!E2:E33,Data!N2:N33)</f>
        <v>0.48143630206953741</v>
      </c>
      <c r="C16" s="17"/>
      <c r="J16" s="14">
        <f>Data!M12</f>
        <v>15.5</v>
      </c>
      <c r="K16" s="14">
        <f>Data!E12</f>
        <v>58.8</v>
      </c>
      <c r="L16" s="14">
        <f t="shared" si="0"/>
        <v>60.001816892492215</v>
      </c>
      <c r="M16" s="17">
        <f>Data!N12</f>
        <v>-3.5</v>
      </c>
      <c r="N16" s="17">
        <f>Data!E12</f>
        <v>58.8</v>
      </c>
      <c r="O16" s="17">
        <f t="shared" si="1"/>
        <v>55.701418331498267</v>
      </c>
      <c r="P16" s="20">
        <f>Data!Q12</f>
        <v>53.941227312013829</v>
      </c>
      <c r="Q16" s="20">
        <f>Data!E12</f>
        <v>58.8</v>
      </c>
      <c r="R16" s="20">
        <f t="shared" si="2"/>
        <v>59.15458188766226</v>
      </c>
      <c r="S16" s="49">
        <f>Data!S12</f>
        <v>55.080476102971666</v>
      </c>
      <c r="T16" s="23">
        <f>Data!E12</f>
        <v>58.8</v>
      </c>
      <c r="U16" s="23">
        <f t="shared" si="3"/>
        <v>60.449427581019272</v>
      </c>
      <c r="V16" s="54">
        <f>'PDO vs Net Luck'!B27</f>
        <v>100.6</v>
      </c>
      <c r="W16" s="54">
        <f>'PDO vs Net Luck'!C27</f>
        <v>-3.5</v>
      </c>
      <c r="X16" s="54">
        <f>'PDO vs Net Luck'!D27</f>
        <v>9.9819166537570254</v>
      </c>
    </row>
    <row r="17" spans="1:24" x14ac:dyDescent="0.35">
      <c r="A17" s="17" t="s">
        <v>45</v>
      </c>
      <c r="B17" s="18">
        <f>RSQ(Data!E2:E33,Data!N2:N33)</f>
        <v>0.23178091295039088</v>
      </c>
      <c r="C17" s="17"/>
      <c r="J17" s="14">
        <f>Data!M13</f>
        <v>4.5</v>
      </c>
      <c r="K17" s="14">
        <f>Data!E13</f>
        <v>57.4</v>
      </c>
      <c r="L17" s="14">
        <f t="shared" si="0"/>
        <v>57.358045134819378</v>
      </c>
      <c r="M17" s="17">
        <f>Data!N13</f>
        <v>27.5</v>
      </c>
      <c r="N17" s="17">
        <f>Data!E13</f>
        <v>57.4</v>
      </c>
      <c r="O17" s="17">
        <f t="shared" si="1"/>
        <v>60.772657325738095</v>
      </c>
      <c r="P17" s="20">
        <f>Data!Q13</f>
        <v>59.781132075471696</v>
      </c>
      <c r="Q17" s="20">
        <f>Data!E13</f>
        <v>57.4</v>
      </c>
      <c r="R17" s="20">
        <f t="shared" si="2"/>
        <v>63.395556910277541</v>
      </c>
      <c r="S17" s="49">
        <f>Data!S13</f>
        <v>51.311345390514141</v>
      </c>
      <c r="T17" s="23">
        <f>Data!E13</f>
        <v>57.4</v>
      </c>
      <c r="U17" s="23">
        <f t="shared" si="3"/>
        <v>57.337274698349972</v>
      </c>
      <c r="V17" s="54">
        <f>'PDO vs Net Luck'!B28</f>
        <v>101.5</v>
      </c>
      <c r="W17" s="54">
        <f>'PDO vs Net Luck'!C28</f>
        <v>27.5</v>
      </c>
      <c r="X17" s="54">
        <f>'PDO vs Net Luck'!D28</f>
        <v>25.023759566227909</v>
      </c>
    </row>
    <row r="18" spans="1:24" x14ac:dyDescent="0.35">
      <c r="A18" s="17" t="s">
        <v>46</v>
      </c>
      <c r="B18" s="18">
        <f>STEYX(Data!E2:E33,Data!N2:N33)</f>
        <v>7.0360925732800705</v>
      </c>
      <c r="C18" s="17"/>
      <c r="J18" s="14">
        <f>Data!M14</f>
        <v>2.9000000000000057</v>
      </c>
      <c r="K18" s="14">
        <f>Data!E14</f>
        <v>56.8</v>
      </c>
      <c r="L18" s="14">
        <f t="shared" si="0"/>
        <v>56.973496515521511</v>
      </c>
      <c r="M18" s="17">
        <f>Data!N14</f>
        <v>9.0999999999999943</v>
      </c>
      <c r="N18" s="17">
        <f>Data!E14</f>
        <v>56.8</v>
      </c>
      <c r="O18" s="17">
        <f t="shared" si="1"/>
        <v>57.762631600124777</v>
      </c>
      <c r="P18" s="20">
        <f>Data!Q14</f>
        <v>53.588182632050128</v>
      </c>
      <c r="Q18" s="20">
        <f>Data!E14</f>
        <v>56.8</v>
      </c>
      <c r="R18" s="20">
        <f t="shared" si="2"/>
        <v>58.898198653647547</v>
      </c>
      <c r="S18" s="49">
        <f>Data!S14</f>
        <v>50.81022900555984</v>
      </c>
      <c r="T18" s="23">
        <f>Data!E14</f>
        <v>56.8</v>
      </c>
      <c r="U18" s="23">
        <f t="shared" si="3"/>
        <v>56.923505338525494</v>
      </c>
      <c r="V18" s="54">
        <f>'PDO vs Net Luck'!B29</f>
        <v>100.3</v>
      </c>
      <c r="W18" s="54">
        <f>'PDO vs Net Luck'!C29</f>
        <v>9.0999999999999943</v>
      </c>
      <c r="X18" s="54">
        <f>'PDO vs Net Luck'!D29</f>
        <v>4.9679690162665793</v>
      </c>
    </row>
    <row r="19" spans="1:24" x14ac:dyDescent="0.35">
      <c r="A19" s="17" t="s">
        <v>60</v>
      </c>
      <c r="B19" s="17">
        <f>COUNT(Data!E2:E33)</f>
        <v>32</v>
      </c>
      <c r="C19" s="17"/>
      <c r="J19" s="14">
        <f>Data!M15</f>
        <v>-13.599999999999994</v>
      </c>
      <c r="K19" s="14">
        <f>Data!E15</f>
        <v>56.2</v>
      </c>
      <c r="L19" s="14">
        <f t="shared" si="0"/>
        <v>53.007838879012255</v>
      </c>
      <c r="M19" s="17">
        <f>Data!N15</f>
        <v>1.5999999999999943</v>
      </c>
      <c r="N19" s="17">
        <f>Data!E15</f>
        <v>56.2</v>
      </c>
      <c r="O19" s="17">
        <f t="shared" si="1"/>
        <v>56.535718940228044</v>
      </c>
      <c r="P19" s="20">
        <f>Data!Q15</f>
        <v>46.032753864342951</v>
      </c>
      <c r="Q19" s="20">
        <f>Data!E15</f>
        <v>56.2</v>
      </c>
      <c r="R19" s="20">
        <f t="shared" si="2"/>
        <v>53.411399469952912</v>
      </c>
      <c r="S19" s="49">
        <f>Data!S15</f>
        <v>46.102379977809868</v>
      </c>
      <c r="T19" s="23">
        <f>Data!E15</f>
        <v>56.2</v>
      </c>
      <c r="U19" s="23">
        <f t="shared" si="3"/>
        <v>53.036257312221068</v>
      </c>
      <c r="V19" s="54">
        <f>'PDO vs Net Luck'!B30</f>
        <v>99.5</v>
      </c>
      <c r="W19" s="54">
        <f>'PDO vs Net Luck'!C30</f>
        <v>1.5999999999999943</v>
      </c>
      <c r="X19" s="54">
        <f>'PDO vs Net Luck'!D30</f>
        <v>-8.4025580170407466</v>
      </c>
    </row>
    <row r="20" spans="1:24" x14ac:dyDescent="0.35">
      <c r="A20" s="17" t="s">
        <v>61</v>
      </c>
      <c r="B20" s="17" t="str">
        <f>"PTS% = "&amp;ROUND(B15,4)&amp;" + "&amp;ROUND(B14,4)&amp;" * NetLuck"</f>
        <v>PTS% = 56.274 + 0.1636 * NetLuck</v>
      </c>
      <c r="C20" s="17"/>
      <c r="J20" s="14">
        <f>Data!M16</f>
        <v>-1.9000000000000057</v>
      </c>
      <c r="K20" s="14">
        <f>Data!E16</f>
        <v>56.899999999999991</v>
      </c>
      <c r="L20" s="14">
        <f t="shared" si="0"/>
        <v>55.81985065762791</v>
      </c>
      <c r="M20" s="17">
        <f>Data!N16</f>
        <v>-18.099999999999994</v>
      </c>
      <c r="N20" s="17">
        <f>Data!E16</f>
        <v>56.899999999999991</v>
      </c>
      <c r="O20" s="17">
        <f t="shared" si="1"/>
        <v>53.313028353565961</v>
      </c>
      <c r="P20" s="20">
        <f>Data!Q16</f>
        <v>43.318685260750641</v>
      </c>
      <c r="Q20" s="20">
        <f>Data!E16</f>
        <v>56.899999999999991</v>
      </c>
      <c r="R20" s="20">
        <f t="shared" si="2"/>
        <v>51.44042603396079</v>
      </c>
      <c r="S20" s="49">
        <f>Data!S16</f>
        <v>49.431326383126859</v>
      </c>
      <c r="T20" s="23">
        <f>Data!E16</f>
        <v>56.899999999999991</v>
      </c>
      <c r="U20" s="23">
        <f t="shared" si="3"/>
        <v>55.784952155123946</v>
      </c>
      <c r="V20" s="54">
        <f>'PDO vs Net Luck'!B31</f>
        <v>99.1</v>
      </c>
      <c r="W20" s="54">
        <f>'PDO vs Net Luck'!C31</f>
        <v>-18.099999999999994</v>
      </c>
      <c r="X20" s="54">
        <f>'PDO vs Net Luck'!D31</f>
        <v>-15.087821533694523</v>
      </c>
    </row>
    <row r="21" spans="1:24" x14ac:dyDescent="0.35">
      <c r="J21" s="14">
        <f>Data!M17</f>
        <v>32.099999999999994</v>
      </c>
      <c r="K21" s="14">
        <f>Data!E17</f>
        <v>56.899999999999991</v>
      </c>
      <c r="L21" s="14">
        <f t="shared" si="0"/>
        <v>63.991508817707583</v>
      </c>
      <c r="M21" s="17">
        <f>Data!N17</f>
        <v>-34.099999999999994</v>
      </c>
      <c r="N21" s="17">
        <f>Data!E17</f>
        <v>56.899999999999991</v>
      </c>
      <c r="O21" s="17">
        <f t="shared" si="1"/>
        <v>50.695614679119601</v>
      </c>
      <c r="P21" s="20">
        <f>Data!Q17</f>
        <v>49.408304740564382</v>
      </c>
      <c r="Q21" s="20">
        <f>Data!E17</f>
        <v>56.899999999999991</v>
      </c>
      <c r="R21" s="20">
        <f t="shared" si="2"/>
        <v>55.862745430797958</v>
      </c>
      <c r="S21" s="49">
        <f>Data!S17</f>
        <v>59.904014355926435</v>
      </c>
      <c r="T21" s="23">
        <f>Data!E17</f>
        <v>56.899999999999991</v>
      </c>
      <c r="U21" s="23">
        <f t="shared" si="3"/>
        <v>64.432199637446843</v>
      </c>
      <c r="V21" s="54">
        <f>'PDO vs Net Luck'!B32</f>
        <v>98.3</v>
      </c>
      <c r="W21" s="54">
        <f>'PDO vs Net Luck'!C32</f>
        <v>-34.099999999999994</v>
      </c>
      <c r="X21" s="54">
        <f>'PDO vs Net Luck'!D32</f>
        <v>-28.458348567002076</v>
      </c>
    </row>
    <row r="22" spans="1:24" x14ac:dyDescent="0.35">
      <c r="A22" s="19" t="s">
        <v>69</v>
      </c>
      <c r="B22" s="20"/>
      <c r="C22" s="20"/>
      <c r="J22" s="14">
        <f>Data!M18</f>
        <v>16.299999999999983</v>
      </c>
      <c r="K22" s="14">
        <f>Data!E18</f>
        <v>56.3</v>
      </c>
      <c r="L22" s="14">
        <f t="shared" si="0"/>
        <v>60.194091202141145</v>
      </c>
      <c r="M22" s="17">
        <f>Data!N18</f>
        <v>-32.299999999999983</v>
      </c>
      <c r="N22" s="17">
        <f>Data!E18</f>
        <v>56.3</v>
      </c>
      <c r="O22" s="17">
        <f t="shared" si="1"/>
        <v>50.990073717494816</v>
      </c>
      <c r="P22" s="20">
        <f>Data!Q18</f>
        <v>45.514678089958423</v>
      </c>
      <c r="Q22" s="20">
        <f>Data!E18</f>
        <v>56.3</v>
      </c>
      <c r="R22" s="20">
        <f t="shared" si="2"/>
        <v>53.035169632655716</v>
      </c>
      <c r="S22" s="49">
        <f>Data!S18</f>
        <v>54.557599184602715</v>
      </c>
      <c r="T22" s="23">
        <f>Data!E18</f>
        <v>56.3</v>
      </c>
      <c r="U22" s="23">
        <f t="shared" si="3"/>
        <v>60.017690654675803</v>
      </c>
      <c r="V22" s="54">
        <f>'PDO vs Net Luck'!B33</f>
        <v>98.4</v>
      </c>
      <c r="W22" s="54">
        <f>'PDO vs Net Luck'!C33</f>
        <v>-32.299999999999983</v>
      </c>
      <c r="X22" s="54">
        <f>'PDO vs Net Luck'!D33</f>
        <v>-26.787032687838519</v>
      </c>
    </row>
    <row r="23" spans="1:24" x14ac:dyDescent="0.35">
      <c r="A23" s="20" t="s">
        <v>58</v>
      </c>
      <c r="B23" s="21">
        <f>SLOPE(Data!E2:E33,Data!Q2:Q33)</f>
        <v>0.72620619588737145</v>
      </c>
      <c r="C23" s="20"/>
      <c r="J23" s="14">
        <f>Data!M19</f>
        <v>3.9000000000000057</v>
      </c>
      <c r="K23" s="14">
        <f>Data!E19</f>
        <v>56.3</v>
      </c>
      <c r="L23" s="14">
        <f t="shared" si="0"/>
        <v>57.213839402582678</v>
      </c>
      <c r="M23" s="17">
        <f>Data!N19</f>
        <v>-21.900000000000006</v>
      </c>
      <c r="N23" s="17">
        <f>Data!E19</f>
        <v>56.3</v>
      </c>
      <c r="O23" s="17">
        <f t="shared" si="1"/>
        <v>52.69139260588495</v>
      </c>
      <c r="P23" s="20">
        <f>Data!Q19</f>
        <v>44.899700550600507</v>
      </c>
      <c r="Q23" s="20">
        <f>Data!E19</f>
        <v>56.3</v>
      </c>
      <c r="R23" s="20">
        <f t="shared" si="2"/>
        <v>52.58856913324243</v>
      </c>
      <c r="S23" s="49">
        <f>Data!S19</f>
        <v>51.095681860485975</v>
      </c>
      <c r="T23" s="23">
        <f>Data!E19</f>
        <v>56.3</v>
      </c>
      <c r="U23" s="23">
        <f t="shared" si="3"/>
        <v>57.159202371368728</v>
      </c>
      <c r="V23" s="54">
        <f>'PDO vs Net Luck'!B34</f>
        <v>98.6</v>
      </c>
      <c r="W23" s="54">
        <f>'PDO vs Net Luck'!C34</f>
        <v>-21.900000000000006</v>
      </c>
      <c r="X23" s="54">
        <f>'PDO vs Net Luck'!D34</f>
        <v>-23.444400929511858</v>
      </c>
    </row>
    <row r="24" spans="1:24" x14ac:dyDescent="0.35">
      <c r="A24" s="20" t="s">
        <v>47</v>
      </c>
      <c r="B24" s="21">
        <f>INTERCEPT(Data!E2:E33,Data!Q2:Q33)</f>
        <v>19.982128399908717</v>
      </c>
      <c r="C24" s="20"/>
      <c r="J24" s="14">
        <f>Data!M20</f>
        <v>24.800000000000011</v>
      </c>
      <c r="K24" s="14">
        <f>Data!E20</f>
        <v>56.3</v>
      </c>
      <c r="L24" s="14">
        <f t="shared" si="0"/>
        <v>62.237005742161074</v>
      </c>
      <c r="M24" s="17">
        <f>Data!N20</f>
        <v>-2.8000000000000114</v>
      </c>
      <c r="N24" s="17">
        <f>Data!E20</f>
        <v>56.3</v>
      </c>
      <c r="O24" s="17">
        <f t="shared" si="1"/>
        <v>55.815930179755291</v>
      </c>
      <c r="P24" s="20">
        <f>Data!Q20</f>
        <v>56.481416916533021</v>
      </c>
      <c r="Q24" s="20">
        <f>Data!E20</f>
        <v>56.3</v>
      </c>
      <c r="R24" s="20">
        <f t="shared" si="2"/>
        <v>60.999283317192791</v>
      </c>
      <c r="S24" s="49">
        <f>Data!S20</f>
        <v>57.428429549732648</v>
      </c>
      <c r="T24" s="23">
        <f>Data!E20</f>
        <v>56.3</v>
      </c>
      <c r="U24" s="23">
        <f t="shared" si="3"/>
        <v>62.388121313120195</v>
      </c>
      <c r="V24" s="54">
        <f>'PDO vs Net Luck'!B35</f>
        <v>100.3</v>
      </c>
      <c r="W24" s="54">
        <f>'PDO vs Net Luck'!C35</f>
        <v>-2.8000000000000114</v>
      </c>
      <c r="X24" s="54">
        <f>'PDO vs Net Luck'!D35</f>
        <v>4.9679690162665793</v>
      </c>
    </row>
    <row r="25" spans="1:24" x14ac:dyDescent="0.35">
      <c r="A25" s="20" t="s">
        <v>59</v>
      </c>
      <c r="B25" s="21">
        <f>CORREL(Data!E2:E33,Data!Q2:Q33)</f>
        <v>0.86075801701239452</v>
      </c>
      <c r="C25" s="20"/>
      <c r="J25" s="14">
        <f>Data!M21</f>
        <v>6.5</v>
      </c>
      <c r="K25" s="14">
        <f>Data!E21</f>
        <v>55.1</v>
      </c>
      <c r="L25" s="14">
        <f t="shared" si="0"/>
        <v>57.838730908941713</v>
      </c>
      <c r="M25" s="17">
        <f>Data!N21</f>
        <v>2.5</v>
      </c>
      <c r="N25" s="17">
        <f>Data!E21</f>
        <v>55.1</v>
      </c>
      <c r="O25" s="17">
        <f t="shared" si="1"/>
        <v>56.682948459415655</v>
      </c>
      <c r="P25" s="20">
        <f>Data!Q21</f>
        <v>53.222453222453225</v>
      </c>
      <c r="Q25" s="20">
        <f>Data!E21</f>
        <v>55.1</v>
      </c>
      <c r="R25" s="20">
        <f t="shared" si="2"/>
        <v>58.632603690380051</v>
      </c>
      <c r="S25" s="49">
        <f>Data!S21</f>
        <v>52.056742390899544</v>
      </c>
      <c r="T25" s="23">
        <f>Data!E21</f>
        <v>55.1</v>
      </c>
      <c r="U25" s="23">
        <f t="shared" si="3"/>
        <v>57.952745373276485</v>
      </c>
      <c r="V25" s="54">
        <f>'PDO vs Net Luck'!B36</f>
        <v>100.1</v>
      </c>
      <c r="W25" s="54">
        <f>'PDO vs Net Luck'!C36</f>
        <v>2.5</v>
      </c>
      <c r="X25" s="54">
        <f>'PDO vs Net Luck'!D36</f>
        <v>1.625337257939691</v>
      </c>
    </row>
    <row r="26" spans="1:24" x14ac:dyDescent="0.35">
      <c r="A26" s="20" t="s">
        <v>45</v>
      </c>
      <c r="B26" s="21">
        <f>RSQ(Data!E2:E33,Data!Q2:Q33)</f>
        <v>0.74090436385110969</v>
      </c>
      <c r="C26" s="20"/>
      <c r="J26" s="14">
        <f>Data!M22</f>
        <v>-1.5</v>
      </c>
      <c r="K26" s="14">
        <f>Data!E22</f>
        <v>53.7</v>
      </c>
      <c r="L26" s="14">
        <f t="shared" si="0"/>
        <v>55.915987812452379</v>
      </c>
      <c r="M26" s="17">
        <f>Data!N22</f>
        <v>-41.5</v>
      </c>
      <c r="N26" s="17">
        <f>Data!E22</f>
        <v>53.7</v>
      </c>
      <c r="O26" s="17">
        <f t="shared" si="1"/>
        <v>49.485060854688157</v>
      </c>
      <c r="P26" s="20">
        <f>Data!Q22</f>
        <v>36.598927518451831</v>
      </c>
      <c r="Q26" s="20">
        <f>Data!E22</f>
        <v>53.7</v>
      </c>
      <c r="R26" s="20">
        <f t="shared" si="2"/>
        <v>46.560496326641257</v>
      </c>
      <c r="S26" s="49">
        <f>Data!S22</f>
        <v>49.580895878095156</v>
      </c>
      <c r="T26" s="23">
        <f>Data!E22</f>
        <v>53.7</v>
      </c>
      <c r="U26" s="23">
        <f t="shared" si="3"/>
        <v>55.908450959075346</v>
      </c>
      <c r="V26" s="54">
        <f>'PDO vs Net Luck'!B37</f>
        <v>97.6</v>
      </c>
      <c r="W26" s="54">
        <f>'PDO vs Net Luck'!C37</f>
        <v>-41.5</v>
      </c>
      <c r="X26" s="54">
        <f>'PDO vs Net Luck'!D37</f>
        <v>-40.157559721146299</v>
      </c>
    </row>
    <row r="27" spans="1:24" x14ac:dyDescent="0.35">
      <c r="A27" s="20" t="s">
        <v>46</v>
      </c>
      <c r="B27" s="21">
        <f>STEYX(Data!E2:E33,Data!Q2:Q33)</f>
        <v>4.0861946167008467</v>
      </c>
      <c r="C27" s="20"/>
      <c r="J27" s="14">
        <f>Data!M23</f>
        <v>-14.599999999999994</v>
      </c>
      <c r="K27" s="14">
        <f>Data!E23</f>
        <v>53.800000000000004</v>
      </c>
      <c r="L27" s="14">
        <f t="shared" si="0"/>
        <v>52.767495991951094</v>
      </c>
      <c r="M27" s="17">
        <f>Data!N23</f>
        <v>-12.400000000000006</v>
      </c>
      <c r="N27" s="17">
        <f>Data!E23</f>
        <v>53.800000000000004</v>
      </c>
      <c r="O27" s="17">
        <f t="shared" si="1"/>
        <v>54.245481975087479</v>
      </c>
      <c r="P27" s="20">
        <f>Data!Q23</f>
        <v>41.698871099773463</v>
      </c>
      <c r="Q27" s="20">
        <f>Data!E23</f>
        <v>53.800000000000004</v>
      </c>
      <c r="R27" s="20">
        <f t="shared" si="2"/>
        <v>50.264106954073057</v>
      </c>
      <c r="S27" s="49">
        <f>Data!S23</f>
        <v>45.930824989651455</v>
      </c>
      <c r="T27" s="23">
        <f>Data!E23</f>
        <v>53.800000000000004</v>
      </c>
      <c r="U27" s="23">
        <f t="shared" si="3"/>
        <v>52.894605193559102</v>
      </c>
      <c r="V27" s="54">
        <f>'PDO vs Net Luck'!B38</f>
        <v>99.4</v>
      </c>
      <c r="W27" s="54">
        <f>'PDO vs Net Luck'!C38</f>
        <v>-12.400000000000006</v>
      </c>
      <c r="X27" s="54">
        <f>'PDO vs Net Luck'!D38</f>
        <v>-10.073873896204077</v>
      </c>
    </row>
    <row r="28" spans="1:24" x14ac:dyDescent="0.35">
      <c r="A28" s="20" t="s">
        <v>60</v>
      </c>
      <c r="B28" s="20">
        <f>COUNT(Data!E2:E33)</f>
        <v>32</v>
      </c>
      <c r="C28" s="20"/>
      <c r="J28" s="14">
        <f>Data!M24</f>
        <v>-6.6999999999999886</v>
      </c>
      <c r="K28" s="14">
        <f>Data!E24</f>
        <v>51.9</v>
      </c>
      <c r="L28" s="14">
        <f t="shared" si="0"/>
        <v>54.666204799734309</v>
      </c>
      <c r="M28" s="17">
        <f>Data!N24</f>
        <v>-2.3000000000000114</v>
      </c>
      <c r="N28" s="17">
        <f>Data!E24</f>
        <v>51.9</v>
      </c>
      <c r="O28" s="17">
        <f t="shared" si="1"/>
        <v>55.897724357081742</v>
      </c>
      <c r="P28" s="20">
        <f>Data!Q24</f>
        <v>47.126976032636406</v>
      </c>
      <c r="Q28" s="20">
        <f>Data!E24</f>
        <v>51.9</v>
      </c>
      <c r="R28" s="20">
        <f t="shared" si="2"/>
        <v>54.206030388244933</v>
      </c>
      <c r="S28" s="49">
        <f>Data!S24</f>
        <v>47.915627809754938</v>
      </c>
      <c r="T28" s="23">
        <f>Data!E24</f>
        <v>51.9</v>
      </c>
      <c r="U28" s="23">
        <f t="shared" si="3"/>
        <v>54.533447220899589</v>
      </c>
      <c r="V28" s="54">
        <f>'PDO vs Net Luck'!B39</f>
        <v>100.1</v>
      </c>
      <c r="W28" s="54">
        <f>'PDO vs Net Luck'!C39</f>
        <v>-2.3000000000000114</v>
      </c>
      <c r="X28" s="54">
        <f>'PDO vs Net Luck'!D39</f>
        <v>1.625337257939691</v>
      </c>
    </row>
    <row r="29" spans="1:24" x14ac:dyDescent="0.35">
      <c r="A29" s="20" t="s">
        <v>61</v>
      </c>
      <c r="B29" s="20" t="str">
        <f>"PTS% = "&amp;ROUND(B24,4)&amp;" + "&amp;ROUND(B23,4)&amp;" * PyThagWin%"</f>
        <v>PTS% = 19.9821 + 0.7262 * PyThagWin%</v>
      </c>
      <c r="C29" s="20"/>
      <c r="J29" s="14">
        <f>Data!M25</f>
        <v>-14.5</v>
      </c>
      <c r="K29" s="14">
        <f>Data!E25</f>
        <v>51.9</v>
      </c>
      <c r="L29" s="14">
        <f t="shared" si="0"/>
        <v>52.791530280657206</v>
      </c>
      <c r="M29" s="17">
        <f>Data!N25</f>
        <v>-12.5</v>
      </c>
      <c r="N29" s="17">
        <f>Data!E25</f>
        <v>51.9</v>
      </c>
      <c r="O29" s="17">
        <f t="shared" si="1"/>
        <v>54.229123139622189</v>
      </c>
      <c r="P29" s="20">
        <f>Data!Q25</f>
        <v>42.085603112840467</v>
      </c>
      <c r="Q29" s="20">
        <f>Data!E25</f>
        <v>51.9</v>
      </c>
      <c r="R29" s="20">
        <f t="shared" si="2"/>
        <v>50.544954138110313</v>
      </c>
      <c r="S29" s="49">
        <f>Data!S25</f>
        <v>45.665556485232784</v>
      </c>
      <c r="T29" s="23">
        <f>Data!E25</f>
        <v>51.9</v>
      </c>
      <c r="U29" s="23">
        <f t="shared" si="3"/>
        <v>52.675574280680607</v>
      </c>
      <c r="V29" s="54">
        <f>'PDO vs Net Luck'!B40</f>
        <v>99.9</v>
      </c>
      <c r="W29" s="54">
        <f>'PDO vs Net Luck'!C40</f>
        <v>-12.5</v>
      </c>
      <c r="X29" s="54">
        <f>'PDO vs Net Luck'!D40</f>
        <v>-1.71729450038697</v>
      </c>
    </row>
    <row r="30" spans="1:24" x14ac:dyDescent="0.35">
      <c r="J30" s="14">
        <f>Data!M26</f>
        <v>-4.5999999999999943</v>
      </c>
      <c r="K30" s="14">
        <f>Data!E26</f>
        <v>50</v>
      </c>
      <c r="L30" s="14">
        <f t="shared" si="0"/>
        <v>55.170924862562757</v>
      </c>
      <c r="M30" s="17">
        <f>Data!N26</f>
        <v>-21.400000000000006</v>
      </c>
      <c r="N30" s="17">
        <f>Data!E26</f>
        <v>50</v>
      </c>
      <c r="O30" s="17">
        <f t="shared" si="1"/>
        <v>52.773186783211401</v>
      </c>
      <c r="P30" s="20">
        <f>Data!Q26</f>
        <v>42.169818208366792</v>
      </c>
      <c r="Q30" s="20">
        <f>Data!E26</f>
        <v>50</v>
      </c>
      <c r="R30" s="20">
        <f t="shared" si="2"/>
        <v>50.606111662268773</v>
      </c>
      <c r="S30" s="49">
        <f>Data!S26</f>
        <v>48.585768821341659</v>
      </c>
      <c r="T30" s="23">
        <f>Data!E26</f>
        <v>50</v>
      </c>
      <c r="U30" s="23">
        <f t="shared" si="3"/>
        <v>55.086779392190806</v>
      </c>
      <c r="V30" s="54">
        <f>'PDO vs Net Luck'!B41</f>
        <v>98.7</v>
      </c>
      <c r="W30" s="54">
        <f>'PDO vs Net Luck'!C41</f>
        <v>-21.400000000000006</v>
      </c>
      <c r="X30" s="54">
        <f>'PDO vs Net Luck'!D41</f>
        <v>-21.7730850503483</v>
      </c>
    </row>
    <row r="31" spans="1:24" x14ac:dyDescent="0.35">
      <c r="A31" s="22" t="s">
        <v>86</v>
      </c>
      <c r="B31" s="23"/>
      <c r="C31" s="23"/>
      <c r="J31" s="14">
        <f>Data!M27</f>
        <v>-2</v>
      </c>
      <c r="K31" s="14">
        <f>Data!E27</f>
        <v>50.6</v>
      </c>
      <c r="L31" s="14">
        <f t="shared" si="0"/>
        <v>55.795816368921791</v>
      </c>
      <c r="M31" s="17">
        <f>Data!N27</f>
        <v>-13</v>
      </c>
      <c r="N31" s="17">
        <f>Data!E27</f>
        <v>50.6</v>
      </c>
      <c r="O31" s="17">
        <f t="shared" si="1"/>
        <v>54.147328962295738</v>
      </c>
      <c r="P31" s="20">
        <f>Data!Q27</f>
        <v>45.248868778280546</v>
      </c>
      <c r="Q31" s="20">
        <f>Data!E27</f>
        <v>50.6</v>
      </c>
      <c r="R31" s="20">
        <f t="shared" si="2"/>
        <v>52.842137263590686</v>
      </c>
      <c r="S31" s="49">
        <f>Data!S27</f>
        <v>49.375024413108868</v>
      </c>
      <c r="T31" s="23">
        <f>Data!E27</f>
        <v>50.6</v>
      </c>
      <c r="U31" s="23">
        <f t="shared" si="3"/>
        <v>55.738463892535357</v>
      </c>
      <c r="V31" s="54">
        <f>'PDO vs Net Luck'!B42</f>
        <v>99.7</v>
      </c>
      <c r="W31" s="54">
        <f>'PDO vs Net Luck'!C42</f>
        <v>-13</v>
      </c>
      <c r="X31" s="54">
        <f>'PDO vs Net Luck'!D42</f>
        <v>-5.0599262587138583</v>
      </c>
    </row>
    <row r="32" spans="1:24" x14ac:dyDescent="0.35">
      <c r="A32" s="23" t="s">
        <v>58</v>
      </c>
      <c r="B32" s="24">
        <f>SLOPE(Data!E2:E33,Data!S2:S33)</f>
        <v>0.82569513240365378</v>
      </c>
      <c r="C32" s="23"/>
      <c r="J32" s="14">
        <f>Data!M28</f>
        <v>-21.299999999999983</v>
      </c>
      <c r="K32" s="14">
        <f>Data!E28</f>
        <v>50</v>
      </c>
      <c r="L32" s="14">
        <f t="shared" si="0"/>
        <v>51.157198648641277</v>
      </c>
      <c r="M32" s="17">
        <f>Data!N28</f>
        <v>20.299999999999983</v>
      </c>
      <c r="N32" s="17">
        <f>Data!E28</f>
        <v>50</v>
      </c>
      <c r="O32" s="17">
        <f t="shared" si="1"/>
        <v>59.594821172237232</v>
      </c>
      <c r="P32" s="20">
        <f>Data!Q28</f>
        <v>49.667777753250483</v>
      </c>
      <c r="Q32" s="20">
        <f>Data!E28</f>
        <v>50</v>
      </c>
      <c r="R32" s="20">
        <f t="shared" si="2"/>
        <v>56.051176340276164</v>
      </c>
      <c r="S32" s="49">
        <f>Data!S28</f>
        <v>43.411883739633517</v>
      </c>
      <c r="T32" s="23">
        <f>Data!E28</f>
        <v>50</v>
      </c>
      <c r="U32" s="23">
        <f t="shared" si="3"/>
        <v>50.814727664608512</v>
      </c>
      <c r="V32" s="54">
        <f>'PDO vs Net Luck'!B43</f>
        <v>101.2</v>
      </c>
      <c r="W32" s="54">
        <f>'PDO vs Net Luck'!C43</f>
        <v>20.299999999999983</v>
      </c>
      <c r="X32" s="54">
        <f>'PDO vs Net Luck'!D43</f>
        <v>20.00981192873769</v>
      </c>
    </row>
    <row r="33" spans="1:24" x14ac:dyDescent="0.35">
      <c r="A33" s="23" t="s">
        <v>47</v>
      </c>
      <c r="B33" s="24">
        <f>INTERCEPT(Data!E2:E33,Data!S2:S33)</f>
        <v>14.969746572319792</v>
      </c>
      <c r="C33" s="23"/>
      <c r="J33" s="14">
        <f>Data!M29</f>
        <v>-33.800000000000011</v>
      </c>
      <c r="K33" s="14">
        <f>Data!E29</f>
        <v>48.8</v>
      </c>
      <c r="L33" s="14">
        <f t="shared" si="0"/>
        <v>48.152912560376677</v>
      </c>
      <c r="M33" s="17">
        <f>Data!N29</f>
        <v>-2.1999999999999886</v>
      </c>
      <c r="N33" s="17">
        <f>Data!E29</f>
        <v>48.8</v>
      </c>
      <c r="O33" s="17">
        <f t="shared" si="1"/>
        <v>55.914083192547032</v>
      </c>
      <c r="P33" s="20">
        <f>Data!Q29</f>
        <v>40.310122878876534</v>
      </c>
      <c r="Q33" s="20">
        <f>Data!E29</f>
        <v>48.8</v>
      </c>
      <c r="R33" s="20">
        <f t="shared" si="2"/>
        <v>49.255589391530144</v>
      </c>
      <c r="S33" s="49">
        <f>Data!S29</f>
        <v>40.464178976426503</v>
      </c>
      <c r="T33" s="23">
        <f>Data!E29</f>
        <v>48.8</v>
      </c>
      <c r="U33" s="23">
        <f t="shared" si="3"/>
        <v>48.38082218986542</v>
      </c>
      <c r="V33" s="54">
        <f>'PDO vs Net Luck'!B44</f>
        <v>100.1</v>
      </c>
      <c r="W33" s="54">
        <f>'PDO vs Net Luck'!C44</f>
        <v>-2.1999999999999886</v>
      </c>
      <c r="X33" s="54">
        <f>'PDO vs Net Luck'!D44</f>
        <v>1.625337257939691</v>
      </c>
    </row>
    <row r="34" spans="1:24" x14ac:dyDescent="0.35">
      <c r="A34" s="23" t="s">
        <v>59</v>
      </c>
      <c r="B34" s="24">
        <f>CORREL(Data!E2:E33,Data!S2:S33)</f>
        <v>0.69936323657620403</v>
      </c>
      <c r="C34" s="23"/>
      <c r="J34" s="14">
        <f>Data!M30</f>
        <v>-20.400000000000006</v>
      </c>
      <c r="K34" s="14">
        <f>Data!E30</f>
        <v>46.9</v>
      </c>
      <c r="L34" s="14">
        <f t="shared" si="0"/>
        <v>51.373507246996319</v>
      </c>
      <c r="M34" s="17">
        <f>Data!N30</f>
        <v>-11.599999999999994</v>
      </c>
      <c r="N34" s="17">
        <f>Data!E30</f>
        <v>46.9</v>
      </c>
      <c r="O34" s="17">
        <f t="shared" si="1"/>
        <v>54.376352658809793</v>
      </c>
      <c r="P34" s="20">
        <f>Data!Q30</f>
        <v>39.913671953423005</v>
      </c>
      <c r="Q34" s="20">
        <f>Data!E30</f>
        <v>46.9</v>
      </c>
      <c r="R34" s="20">
        <f t="shared" si="2"/>
        <v>48.96768427310051</v>
      </c>
      <c r="S34" s="49">
        <f>Data!S30</f>
        <v>44.177945157114273</v>
      </c>
      <c r="T34" s="23">
        <f>Data!E30</f>
        <v>46.9</v>
      </c>
      <c r="U34" s="23">
        <f t="shared" si="3"/>
        <v>51.447260848144616</v>
      </c>
      <c r="V34" s="54">
        <f>'PDO vs Net Luck'!B45</f>
        <v>98.6</v>
      </c>
      <c r="W34" s="54">
        <f>'PDO vs Net Luck'!C45</f>
        <v>-11.599999999999994</v>
      </c>
      <c r="X34" s="54">
        <f>'PDO vs Net Luck'!D45</f>
        <v>-23.444400929511858</v>
      </c>
    </row>
    <row r="35" spans="1:24" x14ac:dyDescent="0.35">
      <c r="A35" s="23" t="s">
        <v>45</v>
      </c>
      <c r="B35" s="24">
        <f>RSQ(Data!E2:E33,Data!S2:S33)</f>
        <v>0.48910893667434352</v>
      </c>
      <c r="C35" s="23"/>
      <c r="J35" s="14">
        <f>Data!M31</f>
        <v>-7.5999999999999943</v>
      </c>
      <c r="K35" s="14">
        <f>Data!E31</f>
        <v>46.9</v>
      </c>
      <c r="L35" s="14">
        <f t="shared" si="0"/>
        <v>54.449896201379261</v>
      </c>
      <c r="M35" s="17">
        <f>Data!N31</f>
        <v>4.5999999999999943</v>
      </c>
      <c r="N35" s="17">
        <f>Data!E31</f>
        <v>46.9</v>
      </c>
      <c r="O35" s="17">
        <f t="shared" si="1"/>
        <v>57.026484004186734</v>
      </c>
      <c r="P35" s="20">
        <f>Data!Q31</f>
        <v>48.996756514931214</v>
      </c>
      <c r="Q35" s="20">
        <f>Data!E31</f>
        <v>46.9</v>
      </c>
      <c r="R35" s="20">
        <f t="shared" si="2"/>
        <v>55.5638765594367</v>
      </c>
      <c r="S35" s="49">
        <f>Data!S31</f>
        <v>47.568660477583968</v>
      </c>
      <c r="T35" s="23">
        <f>Data!E31</f>
        <v>46.9</v>
      </c>
      <c r="U35" s="23">
        <f t="shared" si="3"/>
        <v>54.246957983622941</v>
      </c>
      <c r="V35" s="54">
        <f>'PDO vs Net Luck'!B46</f>
        <v>100.8</v>
      </c>
      <c r="W35" s="54">
        <f>'PDO vs Net Luck'!C46</f>
        <v>4.5999999999999943</v>
      </c>
      <c r="X35" s="54">
        <f>'PDO vs Net Luck'!D46</f>
        <v>13.324548412083914</v>
      </c>
    </row>
    <row r="36" spans="1:24" x14ac:dyDescent="0.35">
      <c r="A36" s="23" t="s">
        <v>46</v>
      </c>
      <c r="B36" s="24">
        <f>STEYX(Data!E2:E33,Data!S2:S33)</f>
        <v>5.7379023249717651</v>
      </c>
      <c r="C36" s="23"/>
      <c r="J36" s="14">
        <f>Data!M32</f>
        <v>-58.900000000000006</v>
      </c>
      <c r="K36" s="14">
        <f>Data!E32</f>
        <v>43.8</v>
      </c>
      <c r="L36" s="14">
        <f t="shared" si="0"/>
        <v>42.120306095141387</v>
      </c>
      <c r="M36" s="17">
        <f>Data!N32</f>
        <v>12.900000000000006</v>
      </c>
      <c r="N36" s="17">
        <f>Data!E32</f>
        <v>43.8</v>
      </c>
      <c r="O36" s="17">
        <f t="shared" si="1"/>
        <v>58.384267347805789</v>
      </c>
      <c r="P36" s="20">
        <f>Data!Q32</f>
        <v>36.638019938123065</v>
      </c>
      <c r="Q36" s="20">
        <f>Data!E32</f>
        <v>43.8</v>
      </c>
      <c r="R36" s="20">
        <f t="shared" si="2"/>
        <v>46.588885484018732</v>
      </c>
      <c r="S36" s="49">
        <f>Data!S32</f>
        <v>33.397433748230597</v>
      </c>
      <c r="T36" s="23">
        <f>Data!E32</f>
        <v>43.8</v>
      </c>
      <c r="U36" s="23">
        <f t="shared" si="3"/>
        <v>42.545845053007312</v>
      </c>
      <c r="V36" s="54">
        <f>'PDO vs Net Luck'!B47</f>
        <v>99.6</v>
      </c>
      <c r="W36" s="54">
        <f>'PDO vs Net Luck'!C47</f>
        <v>12.900000000000006</v>
      </c>
      <c r="X36" s="54">
        <f>'PDO vs Net Luck'!D47</f>
        <v>-6.7312421378774161</v>
      </c>
    </row>
    <row r="37" spans="1:24" x14ac:dyDescent="0.35">
      <c r="A37" s="23" t="s">
        <v>60</v>
      </c>
      <c r="B37" s="23">
        <f>COUNT(Data!E2:E33)</f>
        <v>32</v>
      </c>
      <c r="C37" s="23"/>
      <c r="J37" s="14">
        <f>Data!M33</f>
        <v>-39.200000000000017</v>
      </c>
      <c r="K37" s="14">
        <f>Data!E33</f>
        <v>35</v>
      </c>
      <c r="L37" s="14">
        <f t="shared" si="0"/>
        <v>46.855060970246377</v>
      </c>
      <c r="M37" s="17">
        <f>Data!N33</f>
        <v>-36.799999999999983</v>
      </c>
      <c r="N37" s="17">
        <f>Data!E33</f>
        <v>35</v>
      </c>
      <c r="O37" s="17">
        <f t="shared" si="1"/>
        <v>50.253926121556773</v>
      </c>
      <c r="P37" s="20">
        <f>Data!Q33</f>
        <v>28.248275862068965</v>
      </c>
      <c r="Q37" s="20">
        <f>Data!E33</f>
        <v>35</v>
      </c>
      <c r="R37" s="20">
        <f t="shared" si="2"/>
        <v>40.496201354078877</v>
      </c>
      <c r="S37" s="49">
        <f>Data!S33</f>
        <v>38.926410508351864</v>
      </c>
      <c r="T37" s="23">
        <f>Data!E33</f>
        <v>35</v>
      </c>
      <c r="U37" s="23">
        <f t="shared" si="3"/>
        <v>47.111094251012368</v>
      </c>
      <c r="V37" s="54">
        <f>'PDO vs Net Luck'!B48</f>
        <v>97.8</v>
      </c>
      <c r="W37" s="54">
        <f>'PDO vs Net Luck'!C48</f>
        <v>-36.799999999999983</v>
      </c>
      <c r="X37" s="54">
        <f>'PDO vs Net Luck'!D48</f>
        <v>-36.814927962819411</v>
      </c>
    </row>
    <row r="38" spans="1:24" x14ac:dyDescent="0.35">
      <c r="A38" s="23" t="s">
        <v>61</v>
      </c>
      <c r="B38" s="23" t="str">
        <f>"PTS% = "&amp;ROUND(B33,4)&amp;" + "&amp;ROUND(B32,4)&amp;" * XPythagWin%"</f>
        <v>PTS% = 14.9697 + 0.8257 * XPythagWin%</v>
      </c>
      <c r="C38" s="23"/>
    </row>
    <row r="41" spans="1:24" x14ac:dyDescent="0.35">
      <c r="A41" s="23"/>
    </row>
    <row r="42" spans="1:24" x14ac:dyDescent="0.35">
      <c r="A42" s="23"/>
      <c r="B42" s="24"/>
    </row>
    <row r="43" spans="1:24" x14ac:dyDescent="0.35">
      <c r="A43" s="23"/>
      <c r="B43" s="24"/>
    </row>
    <row r="44" spans="1:24" x14ac:dyDescent="0.35">
      <c r="A44" s="23"/>
      <c r="B44" s="24"/>
    </row>
    <row r="45" spans="1:24" x14ac:dyDescent="0.35">
      <c r="A45" s="23"/>
      <c r="B45" s="24"/>
    </row>
    <row r="46" spans="1:24" x14ac:dyDescent="0.35">
      <c r="A46" s="23"/>
      <c r="B46" s="24"/>
    </row>
    <row r="47" spans="1:24" x14ac:dyDescent="0.35">
      <c r="A47" s="23"/>
      <c r="B47" s="23"/>
    </row>
    <row r="48" spans="1:24" x14ac:dyDescent="0.35">
      <c r="A48" s="23"/>
      <c r="B48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E523-CCB9-4AE8-9570-361EA01FCCDA}">
  <dimension ref="A1:E48"/>
  <sheetViews>
    <sheetView zoomScale="56" workbookViewId="0">
      <selection activeCell="K29" sqref="K29"/>
    </sheetView>
  </sheetViews>
  <sheetFormatPr defaultRowHeight="15.5" x14ac:dyDescent="0.35"/>
  <cols>
    <col min="2" max="2" width="11.75" customWidth="1"/>
  </cols>
  <sheetData>
    <row r="1" spans="1:5" ht="18.5" x14ac:dyDescent="0.45">
      <c r="A1" s="5" t="s">
        <v>75</v>
      </c>
    </row>
    <row r="3" spans="1:5" x14ac:dyDescent="0.35">
      <c r="A3" s="6" t="s">
        <v>76</v>
      </c>
      <c r="B3" t="s">
        <v>5</v>
      </c>
    </row>
    <row r="4" spans="1:5" x14ac:dyDescent="0.35">
      <c r="A4" s="6" t="s">
        <v>77</v>
      </c>
      <c r="B4" t="s">
        <v>43</v>
      </c>
    </row>
    <row r="6" spans="1:5" x14ac:dyDescent="0.35">
      <c r="A6" s="48" t="s">
        <v>78</v>
      </c>
    </row>
    <row r="7" spans="1:5" x14ac:dyDescent="0.35">
      <c r="A7" t="s">
        <v>58</v>
      </c>
      <c r="B7" s="7">
        <f>SLOPE(Data!N2:N33,Data!H2:H33)</f>
        <v>16.713158791634399</v>
      </c>
    </row>
    <row r="8" spans="1:5" x14ac:dyDescent="0.35">
      <c r="A8" t="s">
        <v>47</v>
      </c>
      <c r="B8" s="7">
        <f>INTERCEPT(Data!N2:N33,Data!H2:H33)</f>
        <v>-1671.3618577846635</v>
      </c>
    </row>
    <row r="9" spans="1:5" x14ac:dyDescent="0.35">
      <c r="A9" t="s">
        <v>59</v>
      </c>
      <c r="B9" s="7">
        <f>CORREL(Data!H2:H33,Data!N2:N33)</f>
        <v>0.91720328650765848</v>
      </c>
    </row>
    <row r="10" spans="1:5" x14ac:dyDescent="0.35">
      <c r="A10" t="s">
        <v>45</v>
      </c>
      <c r="B10" s="7">
        <f>RSQ(Data!N2:N33,Data!H2:H33)</f>
        <v>0.84126186878044984</v>
      </c>
    </row>
    <row r="11" spans="1:5" x14ac:dyDescent="0.35">
      <c r="A11" t="s">
        <v>79</v>
      </c>
      <c r="B11" s="7">
        <f>STEYX(Data!N2:N33,Data!H2:H33)</f>
        <v>9.4127403728193357</v>
      </c>
    </row>
    <row r="12" spans="1:5" x14ac:dyDescent="0.35">
      <c r="A12" t="s">
        <v>80</v>
      </c>
      <c r="B12">
        <f>COUNT(Data!H2:H33)</f>
        <v>32</v>
      </c>
    </row>
    <row r="13" spans="1:5" x14ac:dyDescent="0.35">
      <c r="A13" t="s">
        <v>81</v>
      </c>
      <c r="B13" t="str">
        <f>"Net Luck = "&amp;ROUND(B7,3)&amp;" * PDO + "&amp;ROUND(B8,3)</f>
        <v>Net Luck = 16.713 * PDO + -1671.362</v>
      </c>
    </row>
    <row r="15" spans="1:5" x14ac:dyDescent="0.35">
      <c r="A15" s="48" t="s">
        <v>82</v>
      </c>
    </row>
    <row r="16" spans="1:5" x14ac:dyDescent="0.35">
      <c r="A16" s="6" t="s">
        <v>7</v>
      </c>
      <c r="B16" s="6" t="s">
        <v>5</v>
      </c>
      <c r="C16" s="6" t="s">
        <v>43</v>
      </c>
      <c r="D16" s="6" t="s">
        <v>83</v>
      </c>
      <c r="E16" s="6" t="s">
        <v>54</v>
      </c>
    </row>
    <row r="17" spans="1:5" x14ac:dyDescent="0.35">
      <c r="A17" t="str">
        <f>Data!B2</f>
        <v>Colorado Avalanche*</v>
      </c>
      <c r="B17">
        <f>Data!H2</f>
        <v>101.7</v>
      </c>
      <c r="C17">
        <f>Data!N2</f>
        <v>34.5</v>
      </c>
      <c r="D17" s="4">
        <f t="shared" ref="D17:D48" si="0">$B$7*B17+$B$8</f>
        <v>28.366391324555025</v>
      </c>
      <c r="E17" s="4">
        <f t="shared" ref="E17:E48" si="1">C17-D17</f>
        <v>6.1336086754449752</v>
      </c>
    </row>
    <row r="18" spans="1:5" x14ac:dyDescent="0.35">
      <c r="A18" t="str">
        <f>Data!B3</f>
        <v>Carolina Hurricanes</v>
      </c>
      <c r="B18">
        <f>Data!H3</f>
        <v>98.4</v>
      </c>
      <c r="C18">
        <f>Data!N3</f>
        <v>-15.099999999999994</v>
      </c>
      <c r="D18" s="4">
        <f t="shared" si="0"/>
        <v>-26.787032687838519</v>
      </c>
      <c r="E18" s="4">
        <f t="shared" si="1"/>
        <v>11.687032687838524</v>
      </c>
    </row>
    <row r="19" spans="1:5" x14ac:dyDescent="0.35">
      <c r="A19" t="str">
        <f>Data!B4</f>
        <v>Dallas Stars*</v>
      </c>
      <c r="B19">
        <f>Data!H4</f>
        <v>102.1</v>
      </c>
      <c r="C19">
        <f>Data!N4</f>
        <v>19.599999999999994</v>
      </c>
      <c r="D19" s="4">
        <f t="shared" si="0"/>
        <v>35.051654841208574</v>
      </c>
      <c r="E19" s="4">
        <f t="shared" si="1"/>
        <v>-15.45165484120858</v>
      </c>
    </row>
    <row r="20" spans="1:5" x14ac:dyDescent="0.35">
      <c r="A20" t="str">
        <f>Data!B5</f>
        <v>Buffalo Sabres</v>
      </c>
      <c r="B20">
        <f>Data!H5</f>
        <v>101.5</v>
      </c>
      <c r="C20">
        <f>Data!N5</f>
        <v>39.699999999999989</v>
      </c>
      <c r="D20" s="4">
        <f t="shared" si="0"/>
        <v>25.023759566227909</v>
      </c>
      <c r="E20" s="4">
        <f t="shared" si="1"/>
        <v>14.67624043377208</v>
      </c>
    </row>
    <row r="21" spans="1:5" x14ac:dyDescent="0.35">
      <c r="A21" t="str">
        <f>Data!B6</f>
        <v>Montreal Canadiens</v>
      </c>
      <c r="B21">
        <f>Data!H6</f>
        <v>101.6</v>
      </c>
      <c r="C21">
        <f>Data!N6</f>
        <v>25.700000000000017</v>
      </c>
      <c r="D21" s="4">
        <f t="shared" si="0"/>
        <v>26.695075445391467</v>
      </c>
      <c r="E21" s="4">
        <f t="shared" si="1"/>
        <v>-0.99507544539144988</v>
      </c>
    </row>
    <row r="22" spans="1:5" x14ac:dyDescent="0.35">
      <c r="A22" t="str">
        <f>Data!B7</f>
        <v>Tampa Bay Lightning</v>
      </c>
      <c r="B22">
        <f>Data!H7</f>
        <v>101.7</v>
      </c>
      <c r="C22">
        <f>Data!N7</f>
        <v>25</v>
      </c>
      <c r="D22" s="4">
        <f t="shared" si="0"/>
        <v>28.366391324555025</v>
      </c>
      <c r="E22" s="4">
        <f t="shared" si="1"/>
        <v>-3.3663913245550248</v>
      </c>
    </row>
    <row r="23" spans="1:5" x14ac:dyDescent="0.35">
      <c r="A23" t="str">
        <f>Data!B8</f>
        <v>Minnesota Wild*</v>
      </c>
      <c r="B23">
        <f>Data!H8</f>
        <v>100.7</v>
      </c>
      <c r="C23">
        <f>Data!N8</f>
        <v>15.599999999999994</v>
      </c>
      <c r="D23" s="4">
        <f t="shared" si="0"/>
        <v>11.653232532920583</v>
      </c>
      <c r="E23" s="4">
        <f t="shared" si="1"/>
        <v>3.9467674670794111</v>
      </c>
    </row>
    <row r="24" spans="1:5" x14ac:dyDescent="0.35">
      <c r="A24" t="str">
        <f>Data!B9</f>
        <v>Boston Bruins</v>
      </c>
      <c r="B24">
        <f>Data!H9</f>
        <v>101.7</v>
      </c>
      <c r="C24">
        <f>Data!N9</f>
        <v>52.5</v>
      </c>
      <c r="D24" s="4">
        <f t="shared" si="0"/>
        <v>28.366391324555025</v>
      </c>
      <c r="E24" s="4">
        <f t="shared" si="1"/>
        <v>24.133608675444975</v>
      </c>
    </row>
    <row r="25" spans="1:5" x14ac:dyDescent="0.35">
      <c r="A25" t="str">
        <f>Data!B10</f>
        <v>Pittsburgh Penguins</v>
      </c>
      <c r="B25">
        <f>Data!H10</f>
        <v>101</v>
      </c>
      <c r="C25">
        <f>Data!N10</f>
        <v>9.4000000000000057</v>
      </c>
      <c r="D25" s="4">
        <f t="shared" si="0"/>
        <v>16.667180170410802</v>
      </c>
      <c r="E25" s="4">
        <f t="shared" si="1"/>
        <v>-7.2671801704107963</v>
      </c>
    </row>
    <row r="26" spans="1:5" x14ac:dyDescent="0.35">
      <c r="A26" t="str">
        <f>Data!B11</f>
        <v>Ottawa Senators</v>
      </c>
      <c r="B26">
        <f>Data!H11</f>
        <v>99.5</v>
      </c>
      <c r="C26">
        <f>Data!N11</f>
        <v>-18.799999999999983</v>
      </c>
      <c r="D26" s="4">
        <f t="shared" si="0"/>
        <v>-8.4025580170407466</v>
      </c>
      <c r="E26" s="4">
        <f t="shared" si="1"/>
        <v>-10.397441982959236</v>
      </c>
    </row>
    <row r="27" spans="1:5" x14ac:dyDescent="0.35">
      <c r="A27" t="str">
        <f>Data!B12</f>
        <v>Philadelphia Flyers</v>
      </c>
      <c r="B27">
        <f>Data!H12</f>
        <v>100.6</v>
      </c>
      <c r="C27">
        <f>Data!N12</f>
        <v>-3.5</v>
      </c>
      <c r="D27" s="4">
        <f t="shared" si="0"/>
        <v>9.9819166537570254</v>
      </c>
      <c r="E27" s="4">
        <f t="shared" si="1"/>
        <v>-13.481916653757025</v>
      </c>
    </row>
    <row r="28" spans="1:5" x14ac:dyDescent="0.35">
      <c r="A28" t="str">
        <f>Data!B13</f>
        <v>Washington Capitals</v>
      </c>
      <c r="B28">
        <f>Data!H13</f>
        <v>101.5</v>
      </c>
      <c r="C28">
        <f>Data!N13</f>
        <v>27.5</v>
      </c>
      <c r="D28" s="4">
        <f t="shared" si="0"/>
        <v>25.023759566227909</v>
      </c>
      <c r="E28" s="4">
        <f t="shared" si="1"/>
        <v>2.4762404337720909</v>
      </c>
    </row>
    <row r="29" spans="1:5" x14ac:dyDescent="0.35">
      <c r="A29" t="str">
        <f>Data!B14</f>
        <v>Columbus Blue Jackets</v>
      </c>
      <c r="B29">
        <f>Data!H14</f>
        <v>100.3</v>
      </c>
      <c r="C29">
        <f>Data!N14</f>
        <v>9.0999999999999943</v>
      </c>
      <c r="D29" s="4">
        <f t="shared" si="0"/>
        <v>4.9679690162665793</v>
      </c>
      <c r="E29" s="4">
        <f t="shared" si="1"/>
        <v>4.132030983733415</v>
      </c>
    </row>
    <row r="30" spans="1:5" x14ac:dyDescent="0.35">
      <c r="A30" t="str">
        <f>Data!B15</f>
        <v>New York Islanders</v>
      </c>
      <c r="B30">
        <f>Data!H15</f>
        <v>99.5</v>
      </c>
      <c r="C30">
        <f>Data!N15</f>
        <v>1.5999999999999943</v>
      </c>
      <c r="D30" s="4">
        <f t="shared" si="0"/>
        <v>-8.4025580170407466</v>
      </c>
      <c r="E30" s="4">
        <f t="shared" si="1"/>
        <v>10.002558017040741</v>
      </c>
    </row>
    <row r="31" spans="1:5" x14ac:dyDescent="0.35">
      <c r="A31" t="str">
        <f>Data!B16</f>
        <v>Detroit Red Wings</v>
      </c>
      <c r="B31">
        <f>Data!H16</f>
        <v>99.1</v>
      </c>
      <c r="C31">
        <f>Data!N16</f>
        <v>-18.099999999999994</v>
      </c>
      <c r="D31" s="4">
        <f t="shared" si="0"/>
        <v>-15.087821533694523</v>
      </c>
      <c r="E31" s="4">
        <f t="shared" si="1"/>
        <v>-3.0121784663054711</v>
      </c>
    </row>
    <row r="32" spans="1:5" x14ac:dyDescent="0.35">
      <c r="A32" t="str">
        <f>Data!B17</f>
        <v>Vegas Golden Knights</v>
      </c>
      <c r="B32">
        <f>Data!H17</f>
        <v>98.3</v>
      </c>
      <c r="C32">
        <f>Data!N17</f>
        <v>-34.099999999999994</v>
      </c>
      <c r="D32" s="4">
        <f t="shared" si="0"/>
        <v>-28.458348567002076</v>
      </c>
      <c r="E32" s="4">
        <f t="shared" si="1"/>
        <v>-5.6416514329979179</v>
      </c>
    </row>
    <row r="33" spans="1:5" x14ac:dyDescent="0.35">
      <c r="A33" t="str">
        <f>Data!B18</f>
        <v>Edmonton Oilers</v>
      </c>
      <c r="B33">
        <f>Data!H18</f>
        <v>98.4</v>
      </c>
      <c r="C33">
        <f>Data!N18</f>
        <v>-32.299999999999983</v>
      </c>
      <c r="D33" s="4">
        <f t="shared" si="0"/>
        <v>-26.787032687838519</v>
      </c>
      <c r="E33" s="4">
        <f t="shared" si="1"/>
        <v>-5.5129673121614644</v>
      </c>
    </row>
    <row r="34" spans="1:5" x14ac:dyDescent="0.35">
      <c r="A34" t="str">
        <f>Data!B19</f>
        <v>Anaheim Ducks</v>
      </c>
      <c r="B34">
        <f>Data!H19</f>
        <v>98.6</v>
      </c>
      <c r="C34">
        <f>Data!N19</f>
        <v>-21.900000000000006</v>
      </c>
      <c r="D34" s="4">
        <f t="shared" si="0"/>
        <v>-23.444400929511858</v>
      </c>
      <c r="E34" s="4">
        <f t="shared" si="1"/>
        <v>1.5444009295118519</v>
      </c>
    </row>
    <row r="35" spans="1:5" x14ac:dyDescent="0.35">
      <c r="A35" t="str">
        <f>Data!B20</f>
        <v>Utah Mammoth</v>
      </c>
      <c r="B35">
        <f>Data!H20</f>
        <v>100.3</v>
      </c>
      <c r="C35">
        <f>Data!N20</f>
        <v>-2.8000000000000114</v>
      </c>
      <c r="D35" s="4">
        <f t="shared" si="0"/>
        <v>4.9679690162665793</v>
      </c>
      <c r="E35" s="4">
        <f t="shared" si="1"/>
        <v>-7.7679690162665906</v>
      </c>
    </row>
    <row r="36" spans="1:5" x14ac:dyDescent="0.35">
      <c r="A36" t="str">
        <f>Data!B21</f>
        <v>Los Angeles Kings</v>
      </c>
      <c r="B36">
        <f>Data!H21</f>
        <v>100.1</v>
      </c>
      <c r="C36">
        <f>Data!N21</f>
        <v>2.5</v>
      </c>
      <c r="D36" s="4">
        <f t="shared" si="0"/>
        <v>1.625337257939691</v>
      </c>
      <c r="E36" s="4">
        <f t="shared" si="1"/>
        <v>0.87466274206030903</v>
      </c>
    </row>
    <row r="37" spans="1:5" x14ac:dyDescent="0.35">
      <c r="A37" t="str">
        <f>Data!B22</f>
        <v>New Jersey Devils</v>
      </c>
      <c r="B37">
        <f>Data!H22</f>
        <v>97.6</v>
      </c>
      <c r="C37">
        <f>Data!N22</f>
        <v>-41.5</v>
      </c>
      <c r="D37" s="4">
        <f t="shared" si="0"/>
        <v>-40.157559721146299</v>
      </c>
      <c r="E37" s="4">
        <f t="shared" si="1"/>
        <v>-1.3424402788537009</v>
      </c>
    </row>
    <row r="38" spans="1:5" x14ac:dyDescent="0.35">
      <c r="A38" t="str">
        <f>Data!B23</f>
        <v>Nashville Predators</v>
      </c>
      <c r="B38">
        <f>Data!H23</f>
        <v>99.4</v>
      </c>
      <c r="C38">
        <f>Data!N23</f>
        <v>-12.400000000000006</v>
      </c>
      <c r="D38" s="4">
        <f t="shared" si="0"/>
        <v>-10.073873896204077</v>
      </c>
      <c r="E38" s="4">
        <f t="shared" si="1"/>
        <v>-2.3261261037959287</v>
      </c>
    </row>
    <row r="39" spans="1:5" x14ac:dyDescent="0.35">
      <c r="A39" t="str">
        <f>Data!B24</f>
        <v>Winnipeg Jets</v>
      </c>
      <c r="B39">
        <f>Data!H24</f>
        <v>100.1</v>
      </c>
      <c r="C39">
        <f>Data!N24</f>
        <v>-2.3000000000000114</v>
      </c>
      <c r="D39" s="4">
        <f t="shared" si="0"/>
        <v>1.625337257939691</v>
      </c>
      <c r="E39" s="4">
        <f t="shared" si="1"/>
        <v>-3.9253372579397023</v>
      </c>
    </row>
    <row r="40" spans="1:5" x14ac:dyDescent="0.35">
      <c r="A40" t="str">
        <f>Data!B25</f>
        <v>San Jose Sharks</v>
      </c>
      <c r="B40">
        <f>Data!H25</f>
        <v>99.9</v>
      </c>
      <c r="C40">
        <f>Data!N25</f>
        <v>-12.5</v>
      </c>
      <c r="D40" s="4">
        <f t="shared" si="0"/>
        <v>-1.71729450038697</v>
      </c>
      <c r="E40" s="4">
        <f t="shared" si="1"/>
        <v>-10.78270549961303</v>
      </c>
    </row>
    <row r="41" spans="1:5" x14ac:dyDescent="0.35">
      <c r="A41" t="str">
        <f>Data!B26</f>
        <v>Florida Panthers</v>
      </c>
      <c r="B41">
        <f>Data!H26</f>
        <v>98.7</v>
      </c>
      <c r="C41">
        <f>Data!N26</f>
        <v>-21.400000000000006</v>
      </c>
      <c r="D41" s="4">
        <f t="shared" si="0"/>
        <v>-21.7730850503483</v>
      </c>
      <c r="E41" s="4">
        <f t="shared" si="1"/>
        <v>0.37308505034829409</v>
      </c>
    </row>
    <row r="42" spans="1:5" x14ac:dyDescent="0.35">
      <c r="A42" t="str">
        <f>Data!B27</f>
        <v>St. Louis Blues</v>
      </c>
      <c r="B42">
        <f>Data!H27</f>
        <v>99.7</v>
      </c>
      <c r="C42">
        <f>Data!N27</f>
        <v>-13</v>
      </c>
      <c r="D42" s="4">
        <f t="shared" si="0"/>
        <v>-5.0599262587138583</v>
      </c>
      <c r="E42" s="4">
        <f t="shared" si="1"/>
        <v>-7.9400737412861417</v>
      </c>
    </row>
    <row r="43" spans="1:5" x14ac:dyDescent="0.35">
      <c r="A43" t="str">
        <f>Data!B28</f>
        <v>Seattle Kraken</v>
      </c>
      <c r="B43">
        <f>Data!H28</f>
        <v>101.2</v>
      </c>
      <c r="C43">
        <f>Data!N28</f>
        <v>20.299999999999983</v>
      </c>
      <c r="D43" s="4">
        <f t="shared" si="0"/>
        <v>20.00981192873769</v>
      </c>
      <c r="E43" s="4">
        <f t="shared" si="1"/>
        <v>0.29018807126229262</v>
      </c>
    </row>
    <row r="44" spans="1:5" x14ac:dyDescent="0.35">
      <c r="A44" t="str">
        <f>Data!B29</f>
        <v>Toronto Maple Leafs</v>
      </c>
      <c r="B44">
        <f>Data!H29</f>
        <v>100.1</v>
      </c>
      <c r="C44">
        <f>Data!N29</f>
        <v>-2.1999999999999886</v>
      </c>
      <c r="D44" s="4">
        <f t="shared" si="0"/>
        <v>1.625337257939691</v>
      </c>
      <c r="E44" s="4">
        <f t="shared" si="1"/>
        <v>-3.8253372579396796</v>
      </c>
    </row>
    <row r="45" spans="1:5" x14ac:dyDescent="0.35">
      <c r="A45" t="str">
        <f>Data!B30</f>
        <v>Calgary Flames</v>
      </c>
      <c r="B45">
        <f>Data!H30</f>
        <v>98.6</v>
      </c>
      <c r="C45">
        <f>Data!N30</f>
        <v>-11.599999999999994</v>
      </c>
      <c r="D45" s="4">
        <f t="shared" si="0"/>
        <v>-23.444400929511858</v>
      </c>
      <c r="E45" s="4">
        <f t="shared" si="1"/>
        <v>11.844400929511863</v>
      </c>
    </row>
    <row r="46" spans="1:5" x14ac:dyDescent="0.35">
      <c r="A46" t="str">
        <f>Data!B31</f>
        <v>New York Rangers</v>
      </c>
      <c r="B46">
        <f>Data!H31</f>
        <v>100.8</v>
      </c>
      <c r="C46">
        <f>Data!N31</f>
        <v>4.5999999999999943</v>
      </c>
      <c r="D46" s="4">
        <f t="shared" si="0"/>
        <v>13.324548412083914</v>
      </c>
      <c r="E46" s="4">
        <f t="shared" si="1"/>
        <v>-8.7245484120839194</v>
      </c>
    </row>
    <row r="47" spans="1:5" x14ac:dyDescent="0.35">
      <c r="A47" t="str">
        <f>Data!B32</f>
        <v>Chicago Blackhawks</v>
      </c>
      <c r="B47">
        <f>Data!H32</f>
        <v>99.6</v>
      </c>
      <c r="C47">
        <f>Data!N32</f>
        <v>12.900000000000006</v>
      </c>
      <c r="D47" s="4">
        <f t="shared" si="0"/>
        <v>-6.7312421378774161</v>
      </c>
      <c r="E47" s="4">
        <f t="shared" si="1"/>
        <v>19.631242137877422</v>
      </c>
    </row>
    <row r="48" spans="1:5" x14ac:dyDescent="0.35">
      <c r="A48" t="str">
        <f>Data!B33</f>
        <v>Vancouver Canucks</v>
      </c>
      <c r="B48">
        <f>Data!H33</f>
        <v>97.8</v>
      </c>
      <c r="C48">
        <f>Data!N33</f>
        <v>-36.799999999999983</v>
      </c>
      <c r="D48" s="4">
        <f t="shared" si="0"/>
        <v>-36.814927962819411</v>
      </c>
      <c r="E48" s="4">
        <f t="shared" si="1"/>
        <v>1.4927962819427876E-2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7039-80B5-4B25-B2B7-8CC11655B579}">
  <dimension ref="A1:H43"/>
  <sheetViews>
    <sheetView zoomScale="40" workbookViewId="0">
      <selection activeCell="J21" sqref="J21"/>
    </sheetView>
  </sheetViews>
  <sheetFormatPr defaultRowHeight="15.5" x14ac:dyDescent="0.35"/>
  <cols>
    <col min="1" max="1" width="121.08203125" bestFit="1" customWidth="1"/>
    <col min="2" max="2" width="20.25" bestFit="1" customWidth="1"/>
    <col min="3" max="5" width="6.6640625" bestFit="1" customWidth="1"/>
    <col min="6" max="6" width="20.25" bestFit="1" customWidth="1"/>
    <col min="7" max="7" width="19.83203125" bestFit="1" customWidth="1"/>
    <col min="8" max="8" width="70.08203125" bestFit="1" customWidth="1"/>
    <col min="9" max="9" width="22.6640625" bestFit="1" customWidth="1"/>
    <col min="10" max="10" width="14.33203125" bestFit="1" customWidth="1"/>
    <col min="11" max="11" width="11.5" bestFit="1" customWidth="1"/>
    <col min="12" max="12" width="18.5" bestFit="1" customWidth="1"/>
    <col min="13" max="13" width="12.1640625" bestFit="1" customWidth="1"/>
    <col min="14" max="14" width="8.4140625" bestFit="1" customWidth="1"/>
    <col min="15" max="15" width="15.08203125" bestFit="1" customWidth="1"/>
    <col min="16" max="16" width="18" bestFit="1" customWidth="1"/>
    <col min="17" max="17" width="8.4140625" bestFit="1" customWidth="1"/>
    <col min="18" max="18" width="6.25" bestFit="1" customWidth="1"/>
  </cols>
  <sheetData>
    <row r="1" spans="1:8" ht="18.5" x14ac:dyDescent="0.45">
      <c r="A1" s="5" t="s">
        <v>111</v>
      </c>
    </row>
    <row r="2" spans="1:8" x14ac:dyDescent="0.35">
      <c r="A2" s="61" t="s">
        <v>126</v>
      </c>
    </row>
    <row r="4" spans="1:8" x14ac:dyDescent="0.35">
      <c r="A4" s="59" t="s">
        <v>112</v>
      </c>
    </row>
    <row r="5" spans="1:8" x14ac:dyDescent="0.35">
      <c r="A5" s="6" t="s">
        <v>44</v>
      </c>
      <c r="B5" s="6" t="s">
        <v>7</v>
      </c>
      <c r="C5" s="6" t="s">
        <v>113</v>
      </c>
      <c r="D5" s="6" t="s">
        <v>114</v>
      </c>
      <c r="E5" s="6" t="s">
        <v>115</v>
      </c>
      <c r="F5" s="6" t="s">
        <v>116</v>
      </c>
      <c r="G5" s="6" t="s">
        <v>117</v>
      </c>
      <c r="H5" s="6" t="s">
        <v>118</v>
      </c>
    </row>
    <row r="6" spans="1:8" x14ac:dyDescent="0.35">
      <c r="A6">
        <f>IF(LARGE('Step 1 Regressions'!$AD$9:$AD$40,1)&lt;=0,"",1)</f>
        <v>1</v>
      </c>
      <c r="B6" t="str" cm="1">
        <f t="array" ref="B6">IF(LARGE('Step 1 Regressions'!$AD$9:$AD$40,1)&lt;=0,"",INDEX('Step 1 Regressions'!$B$9:$B$40,MATCH(LARGE(('Step 1 Regressions'!$AD$9:$AD$40+ROW('Step 1 Regressions'!$AD$9:$AD$40)/1000000),1),('Step 1 Regressions'!$AD$9:$AD$40+ROW('Step 1 Regressions'!$AD$9:$AD$40)/1000000),0)))</f>
        <v>Buffalo Sabres</v>
      </c>
      <c r="C6" cm="1">
        <f t="array" ref="C6">IF(LARGE('Step 1 Regressions'!$AD$9:$AD$40,1)&lt;=0,"",INDEX('Step 1 Regressions'!$T$9:$T$40,MATCH(LARGE(('Step 1 Regressions'!$AD$9:$AD$40+ROW('Step 1 Regressions'!$AD$9:$AD$40)/1000000),1),('Step 1 Regressions'!$AD$9:$AD$40+ROW('Step 1 Regressions'!$AD$9:$AD$40)/1000000),0)))</f>
        <v>0</v>
      </c>
      <c r="D6" cm="1">
        <f t="array" ref="D6">IF(LARGE('Step 1 Regressions'!$AD$9:$AD$40,1)&lt;=0,"",INDEX('Step 1 Regressions'!$U$9:$U$40,MATCH(LARGE(('Step 1 Regressions'!$AD$9:$AD$40+ROW('Step 1 Regressions'!$AD$9:$AD$40)/1000000),1),('Step 1 Regressions'!$AD$9:$AD$40+ROW('Step 1 Regressions'!$AD$9:$AD$40)/1000000),0)))</f>
        <v>10</v>
      </c>
      <c r="E6" cm="1">
        <f t="array" ref="E6">IF(LARGE('Step 1 Regressions'!$AD$9:$AD$40,1)&lt;=0,"",INDEX('Step 1 Regressions'!$V$9:$V$40,MATCH(LARGE(('Step 1 Regressions'!$AD$9:$AD$40+ROW('Step 1 Regressions'!$AD$9:$AD$40)/1000000),1),('Step 1 Regressions'!$AD$9:$AD$40+ROW('Step 1 Regressions'!$AD$9:$AD$40)/1000000),0)))</f>
        <v>9</v>
      </c>
      <c r="F6">
        <f>IF(LARGE('Step 1 Regressions'!$AD$9:$AD$40,1)&lt;=0,"",LARGE('Step 1 Regressions'!$AD$9:$AD$40,1))</f>
        <v>27</v>
      </c>
      <c r="G6" t="str">
        <f t="shared" ref="G6:G20" si="0">IF(F6="","",IF(ABS(F6)&gt;=20,"Dominant Luck Story",IF(ABS(F6)&gt;=15,"Consistently Lucky",IF(ABS(F6)&gt;=10,"Moderately Lucky","One-Model Signal"))))</f>
        <v>Dominant Luck Story</v>
      </c>
      <c r="H6" s="63" t="str">
        <f t="shared" ref="H6:H20" si="1">IF(F6="","",TRIM((IF(C6&gt;0,"A1: "&amp;C6&amp;" pts. ","No A1 signal. "))&amp;(IF(D6&gt;0,"A2: "&amp;D6&amp;" pts. ","No A2 signal. "))&amp;(IF(E6&gt;0,"A3: "&amp;E6&amp;" pts.","No A3 signal."))))</f>
        <v>No A1 signal. A2: 10 pts. A3: 9 pts.</v>
      </c>
    </row>
    <row r="7" spans="1:8" x14ac:dyDescent="0.35">
      <c r="A7">
        <f>IF(LARGE('Step 1 Regressions'!$AD$9:$AD$40,2)&lt;=0,"",2)</f>
        <v>2</v>
      </c>
      <c r="B7" t="str" cm="1">
        <f t="array" ref="B7">IF(LARGE('Step 1 Regressions'!$AD$9:$AD$40,2)&lt;=0,"",INDEX('Step 1 Regressions'!$B$9:$B$40,MATCH(LARGE(('Step 1 Regressions'!$AD$9:$AD$40+ROW('Step 1 Regressions'!$AD$9:$AD$40)/1000000),2),('Step 1 Regressions'!$AD$9:$AD$40+ROW('Step 1 Regressions'!$AD$9:$AD$40)/1000000),0)))</f>
        <v>Boston Bruins</v>
      </c>
      <c r="C7" cm="1">
        <f t="array" ref="C7">IF(LARGE('Step 1 Regressions'!$AD$9:$AD$40,2)&lt;=0,"",INDEX('Step 1 Regressions'!$T$9:$T$40,MATCH(LARGE(('Step 1 Regressions'!$AD$9:$AD$40+ROW('Step 1 Regressions'!$AD$9:$AD$40)/1000000),2),('Step 1 Regressions'!$AD$9:$AD$40+ROW('Step 1 Regressions'!$AD$9:$AD$40)/1000000),0)))</f>
        <v>0</v>
      </c>
      <c r="D7" cm="1">
        <f t="array" ref="D7">IF(LARGE('Step 1 Regressions'!$AD$9:$AD$40,2)&lt;=0,"",INDEX('Step 1 Regressions'!$U$9:$U$40,MATCH(LARGE(('Step 1 Regressions'!$AD$9:$AD$40+ROW('Step 1 Regressions'!$AD$9:$AD$40)/1000000),2),('Step 1 Regressions'!$AD$9:$AD$40+ROW('Step 1 Regressions'!$AD$9:$AD$40)/1000000),0)))</f>
        <v>9</v>
      </c>
      <c r="E7" cm="1">
        <f t="array" ref="E7">IF(LARGE('Step 1 Regressions'!$AD$9:$AD$40,2)&lt;=0,"",INDEX('Step 1 Regressions'!$V$9:$V$40,MATCH(LARGE(('Step 1 Regressions'!$AD$9:$AD$40+ROW('Step 1 Regressions'!$AD$9:$AD$40)/1000000),2),('Step 1 Regressions'!$AD$9:$AD$40+ROW('Step 1 Regressions'!$AD$9:$AD$40)/1000000),0)))</f>
        <v>10</v>
      </c>
      <c r="F7">
        <f>IF(LARGE('Step 1 Regressions'!$AD$9:$AD$40,2)&lt;=0,"",LARGE('Step 1 Regressions'!$AD$9:$AD$40,2))</f>
        <v>25</v>
      </c>
      <c r="G7" t="str">
        <f t="shared" si="0"/>
        <v>Dominant Luck Story</v>
      </c>
      <c r="H7" s="63" t="str">
        <f t="shared" si="1"/>
        <v>No A1 signal. A2: 9 pts. A3: 10 pts.</v>
      </c>
    </row>
    <row r="8" spans="1:8" x14ac:dyDescent="0.35">
      <c r="A8">
        <f>IF(LARGE('Step 1 Regressions'!$AD$9:$AD$40,3)&lt;=0,"",3)</f>
        <v>3</v>
      </c>
      <c r="B8" t="str" cm="1">
        <f t="array" ref="B8">IF(LARGE('Step 1 Regressions'!$AD$9:$AD$40,3)&lt;=0,"",INDEX('Step 1 Regressions'!$B$9:$B$40,MATCH(LARGE(('Step 1 Regressions'!$AD$9:$AD$40+ROW('Step 1 Regressions'!$AD$9:$AD$40)/1000000),3),('Step 1 Regressions'!$AD$9:$AD$40+ROW('Step 1 Regressions'!$AD$9:$AD$40)/1000000),0)))</f>
        <v>Colorado Avalanche*</v>
      </c>
      <c r="C8" cm="1">
        <f t="array" ref="C8">IF(LARGE('Step 1 Regressions'!$AD$9:$AD$40,3)&lt;=0,"",INDEX('Step 1 Regressions'!$T$9:$T$40,MATCH(LARGE(('Step 1 Regressions'!$AD$9:$AD$40+ROW('Step 1 Regressions'!$AD$9:$AD$40)/1000000),3),('Step 1 Regressions'!$AD$9:$AD$40+ROW('Step 1 Regressions'!$AD$9:$AD$40)/1000000),0)))</f>
        <v>8</v>
      </c>
      <c r="D8" cm="1">
        <f t="array" ref="D8">IF(LARGE('Step 1 Regressions'!$AD$9:$AD$40,3)&lt;=0,"",INDEX('Step 1 Regressions'!$U$9:$U$40,MATCH(LARGE(('Step 1 Regressions'!$AD$9:$AD$40+ROW('Step 1 Regressions'!$AD$9:$AD$40)/1000000),3),('Step 1 Regressions'!$AD$9:$AD$40+ROW('Step 1 Regressions'!$AD$9:$AD$40)/1000000),0)))</f>
        <v>4</v>
      </c>
      <c r="E8" cm="1">
        <f t="array" ref="E8">IF(LARGE('Step 1 Regressions'!$AD$9:$AD$40,3)&lt;=0,"",INDEX('Step 1 Regressions'!$V$9:$V$40,MATCH(LARGE(('Step 1 Regressions'!$AD$9:$AD$40+ROW('Step 1 Regressions'!$AD$9:$AD$40)/1000000),3),('Step 1 Regressions'!$AD$9:$AD$40+ROW('Step 1 Regressions'!$AD$9:$AD$40)/1000000),0)))</f>
        <v>7</v>
      </c>
      <c r="F8">
        <f>IF(LARGE('Step 1 Regressions'!$AD$9:$AD$40,3)&lt;=0,"",LARGE('Step 1 Regressions'!$AD$9:$AD$40,3))</f>
        <v>22</v>
      </c>
      <c r="G8" t="str">
        <f t="shared" si="0"/>
        <v>Dominant Luck Story</v>
      </c>
      <c r="H8" s="63" t="str">
        <f t="shared" si="1"/>
        <v>A1: 8 pts. A2: 4 pts. A3: 7 pts.</v>
      </c>
    </row>
    <row r="9" spans="1:8" x14ac:dyDescent="0.35">
      <c r="A9">
        <f>IF(LARGE('Step 1 Regressions'!$AD$9:$AD$40,4)&lt;=0,"",4)</f>
        <v>4</v>
      </c>
      <c r="B9" t="str" cm="1">
        <f t="array" ref="B9">IF(LARGE('Step 1 Regressions'!$AD$9:$AD$40,4)&lt;=0,"",INDEX('Step 1 Regressions'!$B$9:$B$40,MATCH(LARGE(('Step 1 Regressions'!$AD$9:$AD$40+ROW('Step 1 Regressions'!$AD$9:$AD$40)/1000000),4),('Step 1 Regressions'!$AD$9:$AD$40+ROW('Step 1 Regressions'!$AD$9:$AD$40)/1000000),0)))</f>
        <v>Carolina Hurricanes</v>
      </c>
      <c r="C9" cm="1">
        <f t="array" ref="C9">IF(LARGE('Step 1 Regressions'!$AD$9:$AD$40,4)&lt;=0,"",INDEX('Step 1 Regressions'!$T$9:$T$40,MATCH(LARGE(('Step 1 Regressions'!$AD$9:$AD$40+ROW('Step 1 Regressions'!$AD$9:$AD$40)/1000000),4),('Step 1 Regressions'!$AD$9:$AD$40+ROW('Step 1 Regressions'!$AD$9:$AD$40)/1000000),0)))</f>
        <v>10</v>
      </c>
      <c r="D9" cm="1">
        <f t="array" ref="D9">IF(LARGE('Step 1 Regressions'!$AD$9:$AD$40,4)&lt;=0,"",INDEX('Step 1 Regressions'!$U$9:$U$40,MATCH(LARGE(('Step 1 Regressions'!$AD$9:$AD$40+ROW('Step 1 Regressions'!$AD$9:$AD$40)/1000000),4),('Step 1 Regressions'!$AD$9:$AD$40+ROW('Step 1 Regressions'!$AD$9:$AD$40)/1000000),0)))</f>
        <v>3</v>
      </c>
      <c r="E9" cm="1">
        <f t="array" ref="E9">IF(LARGE('Step 1 Regressions'!$AD$9:$AD$40,4)&lt;=0,"",INDEX('Step 1 Regressions'!$V$9:$V$40,MATCH(LARGE(('Step 1 Regressions'!$AD$9:$AD$40+ROW('Step 1 Regressions'!$AD$9:$AD$40)/1000000),4),('Step 1 Regressions'!$AD$9:$AD$40+ROW('Step 1 Regressions'!$AD$9:$AD$40)/1000000),0)))</f>
        <v>0</v>
      </c>
      <c r="F9">
        <f>IF(LARGE('Step 1 Regressions'!$AD$9:$AD$40,4)&lt;=0,"",LARGE('Step 1 Regressions'!$AD$9:$AD$40,4))</f>
        <v>19</v>
      </c>
      <c r="G9" t="str">
        <f t="shared" si="0"/>
        <v>Consistently Lucky</v>
      </c>
      <c r="H9" s="63" t="str">
        <f t="shared" si="1"/>
        <v>A1: 10 pts. A2: 3 pts. No A3 signal.</v>
      </c>
    </row>
    <row r="10" spans="1:8" x14ac:dyDescent="0.35">
      <c r="A10">
        <f>IF(LARGE('Step 1 Regressions'!$AD$9:$AD$40,5)&lt;=0,"",5)</f>
        <v>5</v>
      </c>
      <c r="B10" t="str" cm="1">
        <f t="array" ref="B10">IF(LARGE('Step 1 Regressions'!$AD$9:$AD$40,5)&lt;=0,"",INDEX('Step 1 Regressions'!$B$9:$B$40,MATCH(LARGE(('Step 1 Regressions'!$AD$9:$AD$40+ROW('Step 1 Regressions'!$AD$9:$AD$40)/1000000),5),('Step 1 Regressions'!$AD$9:$AD$40+ROW('Step 1 Regressions'!$AD$9:$AD$40)/1000000),0)))</f>
        <v>Montreal Canadiens</v>
      </c>
      <c r="C10" cm="1">
        <f t="array" ref="C10">IF(LARGE('Step 1 Regressions'!$AD$9:$AD$40,5)&lt;=0,"",INDEX('Step 1 Regressions'!$T$9:$T$40,MATCH(LARGE(('Step 1 Regressions'!$AD$9:$AD$40+ROW('Step 1 Regressions'!$AD$9:$AD$40)/1000000),5),('Step 1 Regressions'!$AD$9:$AD$40+ROW('Step 1 Regressions'!$AD$9:$AD$40)/1000000),0)))</f>
        <v>3</v>
      </c>
      <c r="D10" cm="1">
        <f t="array" ref="D10">IF(LARGE('Step 1 Regressions'!$AD$9:$AD$40,5)&lt;=0,"",INDEX('Step 1 Regressions'!$U$9:$U$40,MATCH(LARGE(('Step 1 Regressions'!$AD$9:$AD$40+ROW('Step 1 Regressions'!$AD$9:$AD$40)/1000000),5),('Step 1 Regressions'!$AD$9:$AD$40+ROW('Step 1 Regressions'!$AD$9:$AD$40)/1000000),0)))</f>
        <v>8</v>
      </c>
      <c r="E10" cm="1">
        <f t="array" ref="E10">IF(LARGE('Step 1 Regressions'!$AD$9:$AD$40,5)&lt;=0,"",INDEX('Step 1 Regressions'!$V$9:$V$40,MATCH(LARGE(('Step 1 Regressions'!$AD$9:$AD$40+ROW('Step 1 Regressions'!$AD$9:$AD$40)/1000000),5),('Step 1 Regressions'!$AD$9:$AD$40+ROW('Step 1 Regressions'!$AD$9:$AD$40)/1000000),0)))</f>
        <v>6</v>
      </c>
      <c r="F10">
        <f>IF(LARGE('Step 1 Regressions'!$AD$9:$AD$40,5)&lt;=0,"",LARGE('Step 1 Regressions'!$AD$9:$AD$40,5))</f>
        <v>17</v>
      </c>
      <c r="G10" t="str">
        <f t="shared" si="0"/>
        <v>Consistently Lucky</v>
      </c>
      <c r="H10" s="63" t="str">
        <f t="shared" si="1"/>
        <v>A1: 3 pts. A2: 8 pts. A3: 6 pts.</v>
      </c>
    </row>
    <row r="11" spans="1:8" x14ac:dyDescent="0.35">
      <c r="A11">
        <f>IF(LARGE('Step 1 Regressions'!$AD$9:$AD$40,6)&lt;=0,"",6)</f>
        <v>6</v>
      </c>
      <c r="B11" t="str" cm="1">
        <f t="array" ref="B11">IF(LARGE('Step 1 Regressions'!$AD$9:$AD$40,6)&lt;=0,"",INDEX('Step 1 Regressions'!$B$9:$B$40,MATCH(LARGE(('Step 1 Regressions'!$AD$9:$AD$40+ROW('Step 1 Regressions'!$AD$9:$AD$40)/1000000),6),('Step 1 Regressions'!$AD$9:$AD$40+ROW('Step 1 Regressions'!$AD$9:$AD$40)/1000000),0)))</f>
        <v>Minnesota Wild*</v>
      </c>
      <c r="C11" cm="1">
        <f t="array" ref="C11">IF(LARGE('Step 1 Regressions'!$AD$9:$AD$40,6)&lt;=0,"",INDEX('Step 1 Regressions'!$T$9:$T$40,MATCH(LARGE(('Step 1 Regressions'!$AD$9:$AD$40+ROW('Step 1 Regressions'!$AD$9:$AD$40)/1000000),6),('Step 1 Regressions'!$AD$9:$AD$40+ROW('Step 1 Regressions'!$AD$9:$AD$40)/1000000),0)))</f>
        <v>4</v>
      </c>
      <c r="D11" cm="1">
        <f t="array" ref="D11">IF(LARGE('Step 1 Regressions'!$AD$9:$AD$40,6)&lt;=0,"",INDEX('Step 1 Regressions'!$U$9:$U$40,MATCH(LARGE(('Step 1 Regressions'!$AD$9:$AD$40+ROW('Step 1 Regressions'!$AD$9:$AD$40)/1000000),6),('Step 1 Regressions'!$AD$9:$AD$40+ROW('Step 1 Regressions'!$AD$9:$AD$40)/1000000),0)))</f>
        <v>7</v>
      </c>
      <c r="E11" cm="1">
        <f t="array" ref="E11">IF(LARGE('Step 1 Regressions'!$AD$9:$AD$40,6)&lt;=0,"",INDEX('Step 1 Regressions'!$V$9:$V$40,MATCH(LARGE(('Step 1 Regressions'!$AD$9:$AD$40+ROW('Step 1 Regressions'!$AD$9:$AD$40)/1000000),6),('Step 1 Regressions'!$AD$9:$AD$40+ROW('Step 1 Regressions'!$AD$9:$AD$40)/1000000),0)))</f>
        <v>2</v>
      </c>
      <c r="F11">
        <f>IF(LARGE('Step 1 Regressions'!$AD$9:$AD$40,6)&lt;=0,"",LARGE('Step 1 Regressions'!$AD$9:$AD$40,6))</f>
        <v>15</v>
      </c>
      <c r="G11" t="str">
        <f t="shared" si="0"/>
        <v>Consistently Lucky</v>
      </c>
      <c r="H11" s="63" t="str">
        <f t="shared" si="1"/>
        <v>A1: 4 pts. A2: 7 pts. A3: 2 pts.</v>
      </c>
    </row>
    <row r="12" spans="1:8" x14ac:dyDescent="0.35">
      <c r="A12">
        <f>IF(LARGE('Step 1 Regressions'!$AD$9:$AD$40,7)&lt;=0,"",7)</f>
        <v>7</v>
      </c>
      <c r="B12" t="str" cm="1">
        <f t="array" ref="B12">IF(LARGE('Step 1 Regressions'!$AD$9:$AD$40,7)&lt;=0,"",INDEX('Step 1 Regressions'!$B$9:$B$40,MATCH(LARGE(('Step 1 Regressions'!$AD$9:$AD$40+ROW('Step 1 Regressions'!$AD$9:$AD$40)/1000000),7),('Step 1 Regressions'!$AD$9:$AD$40+ROW('Step 1 Regressions'!$AD$9:$AD$40)/1000000),0)))</f>
        <v>Tampa Bay Lightning</v>
      </c>
      <c r="C12" cm="1">
        <f t="array" ref="C12">IF(LARGE('Step 1 Regressions'!$AD$9:$AD$40,7)&lt;=0,"",INDEX('Step 1 Regressions'!$T$9:$T$40,MATCH(LARGE(('Step 1 Regressions'!$AD$9:$AD$40+ROW('Step 1 Regressions'!$AD$9:$AD$40)/1000000),7),('Step 1 Regressions'!$AD$9:$AD$40+ROW('Step 1 Regressions'!$AD$9:$AD$40)/1000000),0)))</f>
        <v>2</v>
      </c>
      <c r="D12" cm="1">
        <f t="array" ref="D12">IF(LARGE('Step 1 Regressions'!$AD$9:$AD$40,7)&lt;=0,"",INDEX('Step 1 Regressions'!$U$9:$U$40,MATCH(LARGE(('Step 1 Regressions'!$AD$9:$AD$40+ROW('Step 1 Regressions'!$AD$9:$AD$40)/1000000),7),('Step 1 Regressions'!$AD$9:$AD$40+ROW('Step 1 Regressions'!$AD$9:$AD$40)/1000000),0)))</f>
        <v>4</v>
      </c>
      <c r="E12" cm="1">
        <f t="array" ref="E12">IF(LARGE('Step 1 Regressions'!$AD$9:$AD$40,7)&lt;=0,"",INDEX('Step 1 Regressions'!$V$9:$V$40,MATCH(LARGE(('Step 1 Regressions'!$AD$9:$AD$40+ROW('Step 1 Regressions'!$AD$9:$AD$40)/1000000),7),('Step 1 Regressions'!$AD$9:$AD$40+ROW('Step 1 Regressions'!$AD$9:$AD$40)/1000000),0)))</f>
        <v>5</v>
      </c>
      <c r="F12">
        <f>IF(LARGE('Step 1 Regressions'!$AD$9:$AD$40,7)&lt;=0,"",LARGE('Step 1 Regressions'!$AD$9:$AD$40,7))</f>
        <v>11</v>
      </c>
      <c r="G12" t="str">
        <f t="shared" si="0"/>
        <v>Moderately Lucky</v>
      </c>
      <c r="H12" s="63" t="str">
        <f t="shared" si="1"/>
        <v>A1: 2 pts. A2: 4 pts. A3: 5 pts.</v>
      </c>
    </row>
    <row r="13" spans="1:8" x14ac:dyDescent="0.35">
      <c r="A13">
        <f>IF(LARGE('Step 1 Regressions'!$AD$9:$AD$40,8)&lt;=0,"",8)</f>
        <v>8</v>
      </c>
      <c r="B13" t="str" cm="1">
        <f t="array" ref="B13">IF(LARGE('Step 1 Regressions'!$AD$9:$AD$40,8)&lt;=0,"",INDEX('Step 1 Regressions'!$B$9:$B$40,MATCH(LARGE(('Step 1 Regressions'!$AD$9:$AD$40+ROW('Step 1 Regressions'!$AD$9:$AD$40)/1000000),8),('Step 1 Regressions'!$AD$9:$AD$40+ROW('Step 1 Regressions'!$AD$9:$AD$40)/1000000),0)))</f>
        <v>Dallas Stars*</v>
      </c>
      <c r="C13" cm="1">
        <f t="array" ref="C13">IF(LARGE('Step 1 Regressions'!$AD$9:$AD$40,8)&lt;=0,"",INDEX('Step 1 Regressions'!$T$9:$T$40,MATCH(LARGE(('Step 1 Regressions'!$AD$9:$AD$40+ROW('Step 1 Regressions'!$AD$9:$AD$40)/1000000),8),('Step 1 Regressions'!$AD$9:$AD$40+ROW('Step 1 Regressions'!$AD$9:$AD$40)/1000000),0)))</f>
        <v>8</v>
      </c>
      <c r="D13" cm="1">
        <f t="array" ref="D13">IF(LARGE('Step 1 Regressions'!$AD$9:$AD$40,8)&lt;=0,"",INDEX('Step 1 Regressions'!$U$9:$U$40,MATCH(LARGE(('Step 1 Regressions'!$AD$9:$AD$40+ROW('Step 1 Regressions'!$AD$9:$AD$40)/1000000),8),('Step 1 Regressions'!$AD$9:$AD$40+ROW('Step 1 Regressions'!$AD$9:$AD$40)/1000000),0)))</f>
        <v>6</v>
      </c>
      <c r="E13" cm="1">
        <f t="array" ref="E13">IF(LARGE('Step 1 Regressions'!$AD$9:$AD$40,8)&lt;=0,"",INDEX('Step 1 Regressions'!$V$9:$V$40,MATCH(LARGE(('Step 1 Regressions'!$AD$9:$AD$40+ROW('Step 1 Regressions'!$AD$9:$AD$40)/1000000),8),('Step 1 Regressions'!$AD$9:$AD$40+ROW('Step 1 Regressions'!$AD$9:$AD$40)/1000000),0)))</f>
        <v>4</v>
      </c>
      <c r="F13">
        <f>IF(LARGE('Step 1 Regressions'!$AD$9:$AD$40,8)&lt;=0,"",LARGE('Step 1 Regressions'!$AD$9:$AD$40,8))</f>
        <v>8</v>
      </c>
      <c r="G13" t="str">
        <f t="shared" si="0"/>
        <v>One-Model Signal</v>
      </c>
      <c r="H13" s="63" t="str">
        <f t="shared" si="1"/>
        <v>A1: 8 pts. A2: 6 pts. A3: 4 pts.</v>
      </c>
    </row>
    <row r="14" spans="1:8" x14ac:dyDescent="0.35">
      <c r="A14">
        <f>IF(LARGE('Step 1 Regressions'!$AD$9:$AD$40,9)&lt;=0,"",9)</f>
        <v>9</v>
      </c>
      <c r="B14" t="str" cm="1">
        <f t="array" ref="B14">IF(LARGE('Step 1 Regressions'!$AD$9:$AD$40,9)&lt;=0,"",INDEX('Step 1 Regressions'!$B$9:$B$40,MATCH(LARGE(('Step 1 Regressions'!$AD$9:$AD$40+ROW('Step 1 Regressions'!$AD$9:$AD$40)/1000000),9),('Step 1 Regressions'!$AD$9:$AD$40+ROW('Step 1 Regressions'!$AD$9:$AD$40)/1000000),0)))</f>
        <v>New York Islanders</v>
      </c>
      <c r="C14" cm="1">
        <f t="array" ref="C14">IF(LARGE('Step 1 Regressions'!$AD$9:$AD$40,9)&lt;=0,"",INDEX('Step 1 Regressions'!$T$9:$T$40,MATCH(LARGE(('Step 1 Regressions'!$AD$9:$AD$40+ROW('Step 1 Regressions'!$AD$9:$AD$40)/1000000),9),('Step 1 Regressions'!$AD$9:$AD$40+ROW('Step 1 Regressions'!$AD$9:$AD$40)/1000000),0)))</f>
        <v>0</v>
      </c>
      <c r="D14" cm="1">
        <f t="array" ref="D14">IF(LARGE('Step 1 Regressions'!$AD$9:$AD$40,9)&lt;=0,"",INDEX('Step 1 Regressions'!$U$9:$U$40,MATCH(LARGE(('Step 1 Regressions'!$AD$9:$AD$40+ROW('Step 1 Regressions'!$AD$9:$AD$40)/1000000),9),('Step 1 Regressions'!$AD$9:$AD$40+ROW('Step 1 Regressions'!$AD$9:$AD$40)/1000000),0)))</f>
        <v>2</v>
      </c>
      <c r="E14" cm="1">
        <f t="array" ref="E14">IF(LARGE('Step 1 Regressions'!$AD$9:$AD$40,9)&lt;=0,"",INDEX('Step 1 Regressions'!$V$9:$V$40,MATCH(LARGE(('Step 1 Regressions'!$AD$9:$AD$40+ROW('Step 1 Regressions'!$AD$9:$AD$40)/1000000),9),('Step 1 Regressions'!$AD$9:$AD$40+ROW('Step 1 Regressions'!$AD$9:$AD$40)/1000000),0)))</f>
        <v>0</v>
      </c>
      <c r="F14">
        <f>IF(LARGE('Step 1 Regressions'!$AD$9:$AD$40,9)&lt;=0,"",LARGE('Step 1 Regressions'!$AD$9:$AD$40,9))</f>
        <v>7</v>
      </c>
      <c r="G14" t="str">
        <f t="shared" si="0"/>
        <v>One-Model Signal</v>
      </c>
      <c r="H14" s="63" t="str">
        <f t="shared" si="1"/>
        <v>No A1 signal. A2: 2 pts. No A3 signal.</v>
      </c>
    </row>
    <row r="15" spans="1:8" x14ac:dyDescent="0.35">
      <c r="A15">
        <f>IF(LARGE('Step 1 Regressions'!$AD$9:$AD$40,10)&lt;=0,"",10)</f>
        <v>10</v>
      </c>
      <c r="B15" t="str" cm="1">
        <f t="array" ref="B15">IF(LARGE('Step 1 Regressions'!$AD$9:$AD$40,10)&lt;=0,"",INDEX('Step 1 Regressions'!$B$9:$B$40,MATCH(LARGE(('Step 1 Regressions'!$AD$9:$AD$40+ROW('Step 1 Regressions'!$AD$9:$AD$40)/1000000),10),('Step 1 Regressions'!$AD$9:$AD$40+ROW('Step 1 Regressions'!$AD$9:$AD$40)/1000000),0)))</f>
        <v>Washington Capitals</v>
      </c>
      <c r="C15" cm="1">
        <f t="array" ref="C15">IF(LARGE('Step 1 Regressions'!$AD$9:$AD$40,10)&lt;=0,"",INDEX('Step 1 Regressions'!$T$9:$T$40,MATCH(LARGE(('Step 1 Regressions'!$AD$9:$AD$40+ROW('Step 1 Regressions'!$AD$9:$AD$40)/1000000),10),('Step 1 Regressions'!$AD$9:$AD$40+ROW('Step 1 Regressions'!$AD$9:$AD$40)/1000000),0)))</f>
        <v>0</v>
      </c>
      <c r="D15" cm="1">
        <f t="array" ref="D15">IF(LARGE('Step 1 Regressions'!$AD$9:$AD$40,10)&lt;=0,"",INDEX('Step 1 Regressions'!$U$9:$U$40,MATCH(LARGE(('Step 1 Regressions'!$AD$9:$AD$40+ROW('Step 1 Regressions'!$AD$9:$AD$40)/1000000),10),('Step 1 Regressions'!$AD$9:$AD$40+ROW('Step 1 Regressions'!$AD$9:$AD$40)/1000000),0)))</f>
        <v>0</v>
      </c>
      <c r="E15" cm="1">
        <f t="array" ref="E15">IF(LARGE('Step 1 Regressions'!$AD$9:$AD$40,10)&lt;=0,"",INDEX('Step 1 Regressions'!$V$9:$V$40,MATCH(LARGE(('Step 1 Regressions'!$AD$9:$AD$40+ROW('Step 1 Regressions'!$AD$9:$AD$40)/1000000),10),('Step 1 Regressions'!$AD$9:$AD$40+ROW('Step 1 Regressions'!$AD$9:$AD$40)/1000000),0)))</f>
        <v>7</v>
      </c>
      <c r="F15">
        <f>IF(LARGE('Step 1 Regressions'!$AD$9:$AD$40,10)&lt;=0,"",LARGE('Step 1 Regressions'!$AD$9:$AD$40,10))</f>
        <v>7</v>
      </c>
      <c r="G15" t="str">
        <f t="shared" si="0"/>
        <v>One-Model Signal</v>
      </c>
      <c r="H15" s="63" t="str">
        <f t="shared" si="1"/>
        <v>No A1 signal. No A2 signal. A3: 7 pts.</v>
      </c>
    </row>
    <row r="16" spans="1:8" x14ac:dyDescent="0.35">
      <c r="A16">
        <f>IF(LARGE('Step 1 Regressions'!$AD$9:$AD$40,11)&lt;=0,"",11)</f>
        <v>11</v>
      </c>
      <c r="B16" t="str" cm="1">
        <f t="array" ref="B16">IF(LARGE('Step 1 Regressions'!$AD$9:$AD$40,11)&lt;=0,"",INDEX('Step 1 Regressions'!$B$9:$B$40,MATCH(LARGE(('Step 1 Regressions'!$AD$9:$AD$40+ROW('Step 1 Regressions'!$AD$9:$AD$40)/1000000),11),('Step 1 Regressions'!$AD$9:$AD$40+ROW('Step 1 Regressions'!$AD$9:$AD$40)/1000000),0)))</f>
        <v>Columbus Blue Jackets</v>
      </c>
      <c r="C16" cm="1">
        <f t="array" ref="C16">IF(LARGE('Step 1 Regressions'!$AD$9:$AD$40,11)&lt;=0,"",INDEX('Step 1 Regressions'!$T$9:$T$40,MATCH(LARGE(('Step 1 Regressions'!$AD$9:$AD$40+ROW('Step 1 Regressions'!$AD$9:$AD$40)/1000000),11),('Step 1 Regressions'!$AD$9:$AD$40+ROW('Step 1 Regressions'!$AD$9:$AD$40)/1000000),0)))</f>
        <v>0</v>
      </c>
      <c r="D16" cm="1">
        <f t="array" ref="D16">IF(LARGE('Step 1 Regressions'!$AD$9:$AD$40,11)&lt;=0,"",INDEX('Step 1 Regressions'!$U$9:$U$40,MATCH(LARGE(('Step 1 Regressions'!$AD$9:$AD$40+ROW('Step 1 Regressions'!$AD$9:$AD$40)/1000000),11),('Step 1 Regressions'!$AD$9:$AD$40+ROW('Step 1 Regressions'!$AD$9:$AD$40)/1000000),0)))</f>
        <v>0</v>
      </c>
      <c r="E16" cm="1">
        <f t="array" ref="E16">IF(LARGE('Step 1 Regressions'!$AD$9:$AD$40,11)&lt;=0,"",INDEX('Step 1 Regressions'!$V$9:$V$40,MATCH(LARGE(('Step 1 Regressions'!$AD$9:$AD$40+ROW('Step 1 Regressions'!$AD$9:$AD$40)/1000000),11),('Step 1 Regressions'!$AD$9:$AD$40+ROW('Step 1 Regressions'!$AD$9:$AD$40)/1000000),0)))</f>
        <v>0</v>
      </c>
      <c r="F16">
        <f>IF(LARGE('Step 1 Regressions'!$AD$9:$AD$40,11)&lt;=0,"",LARGE('Step 1 Regressions'!$AD$9:$AD$40,11))</f>
        <v>3</v>
      </c>
      <c r="G16" t="str">
        <f t="shared" si="0"/>
        <v>One-Model Signal</v>
      </c>
      <c r="H16" s="63" t="str">
        <f t="shared" si="1"/>
        <v>No A1 signal. No A2 signal. No A3 signal.</v>
      </c>
    </row>
    <row r="17" spans="1:8" x14ac:dyDescent="0.35">
      <c r="A17">
        <f>IF(LARGE('Step 1 Regressions'!$AD$9:$AD$40,12)&lt;=0,"",12)</f>
        <v>12</v>
      </c>
      <c r="B17" t="str" cm="1">
        <f t="array" ref="B17">IF(LARGE('Step 1 Regressions'!$AD$9:$AD$40,12)&lt;=0,"",INDEX('Step 1 Regressions'!$B$9:$B$40,MATCH(LARGE(('Step 1 Regressions'!$AD$9:$AD$40+ROW('Step 1 Regressions'!$AD$9:$AD$40)/1000000),12),('Step 1 Regressions'!$AD$9:$AD$40+ROW('Step 1 Regressions'!$AD$9:$AD$40)/1000000),0)))</f>
        <v>Chicago Blackhawks</v>
      </c>
      <c r="C17" cm="1">
        <f t="array" ref="C17">IF(LARGE('Step 1 Regressions'!$AD$9:$AD$40,12)&lt;=0,"",INDEX('Step 1 Regressions'!$T$9:$T$40,MATCH(LARGE(('Step 1 Regressions'!$AD$9:$AD$40+ROW('Step 1 Regressions'!$AD$9:$AD$40)/1000000),12),('Step 1 Regressions'!$AD$9:$AD$40+ROW('Step 1 Regressions'!$AD$9:$AD$40)/1000000),0)))</f>
        <v>0</v>
      </c>
      <c r="D17" cm="1">
        <f t="array" ref="D17">IF(LARGE('Step 1 Regressions'!$AD$9:$AD$40,12)&lt;=0,"",INDEX('Step 1 Regressions'!$U$9:$U$40,MATCH(LARGE(('Step 1 Regressions'!$AD$9:$AD$40+ROW('Step 1 Regressions'!$AD$9:$AD$40)/1000000),12),('Step 1 Regressions'!$AD$9:$AD$40+ROW('Step 1 Regressions'!$AD$9:$AD$40)/1000000),0)))</f>
        <v>1</v>
      </c>
      <c r="E17" cm="1">
        <f t="array" ref="E17">IF(LARGE('Step 1 Regressions'!$AD$9:$AD$40,12)&lt;=0,"",INDEX('Step 1 Regressions'!$V$9:$V$40,MATCH(LARGE(('Step 1 Regressions'!$AD$9:$AD$40+ROW('Step 1 Regressions'!$AD$9:$AD$40)/1000000),12),('Step 1 Regressions'!$AD$9:$AD$40+ROW('Step 1 Regressions'!$AD$9:$AD$40)/1000000),0)))</f>
        <v>1</v>
      </c>
      <c r="F17">
        <f>IF(LARGE('Step 1 Regressions'!$AD$9:$AD$40,12)&lt;=0,"",LARGE('Step 1 Regressions'!$AD$9:$AD$40,12))</f>
        <v>2</v>
      </c>
      <c r="G17" t="str">
        <f t="shared" si="0"/>
        <v>One-Model Signal</v>
      </c>
      <c r="H17" s="63" t="str">
        <f t="shared" si="1"/>
        <v>No A1 signal. A2: 1 pts. A3: 1 pts.</v>
      </c>
    </row>
    <row r="18" spans="1:8" x14ac:dyDescent="0.35">
      <c r="A18" t="str">
        <f>IF(LARGE('Step 1 Regressions'!$AD$9:$AD$40,13)&lt;=0,"",13)</f>
        <v/>
      </c>
      <c r="B18" t="str" cm="1">
        <f t="array" ref="B18">IF(LARGE('Step 1 Regressions'!$AD$9:$AD$40,13)&lt;=0,"",INDEX('Step 1 Regressions'!$B$9:$B$40,MATCH(LARGE(('Step 1 Regressions'!$AD$9:$AD$40+ROW('Step 1 Regressions'!$AD$9:$AD$40)/1000000),13),('Step 1 Regressions'!$AD$9:$AD$40+ROW('Step 1 Regressions'!$AD$9:$AD$40)/1000000),0)))</f>
        <v/>
      </c>
      <c r="C18" t="str" cm="1">
        <f t="array" ref="C18">IF(LARGE('Step 1 Regressions'!$AD$9:$AD$40,13)&lt;=0,"",INDEX('Step 1 Regressions'!$T$9:$T$40,MATCH(LARGE(('Step 1 Regressions'!$AD$9:$AD$40+ROW('Step 1 Regressions'!$AD$9:$AD$40)/1000000),13),('Step 1 Regressions'!$AD$9:$AD$40+ROW('Step 1 Regressions'!$AD$9:$AD$40)/1000000),0)))</f>
        <v/>
      </c>
      <c r="D18" t="str" cm="1">
        <f t="array" ref="D18">IF(LARGE('Step 1 Regressions'!$AD$9:$AD$40,13)&lt;=0,"",INDEX('Step 1 Regressions'!$U$9:$U$40,MATCH(LARGE(('Step 1 Regressions'!$AD$9:$AD$40+ROW('Step 1 Regressions'!$AD$9:$AD$40)/1000000),13),('Step 1 Regressions'!$AD$9:$AD$40+ROW('Step 1 Regressions'!$AD$9:$AD$40)/1000000),0)))</f>
        <v/>
      </c>
      <c r="E18" t="str" cm="1">
        <f t="array" ref="E18">IF(LARGE('Step 1 Regressions'!$AD$9:$AD$40,13)&lt;=0,"",INDEX('Step 1 Regressions'!$V$9:$V$40,MATCH(LARGE(('Step 1 Regressions'!$AD$9:$AD$40+ROW('Step 1 Regressions'!$AD$9:$AD$40)/1000000),13),('Step 1 Regressions'!$AD$9:$AD$40+ROW('Step 1 Regressions'!$AD$9:$AD$40)/1000000),0)))</f>
        <v/>
      </c>
      <c r="F18" t="str">
        <f>IF(LARGE('Step 1 Regressions'!$AD$9:$AD$40,13)&lt;=0,"",LARGE('Step 1 Regressions'!$AD$9:$AD$40,13))</f>
        <v/>
      </c>
      <c r="G18" t="str">
        <f t="shared" si="0"/>
        <v/>
      </c>
      <c r="H18" s="63" t="str">
        <f t="shared" si="1"/>
        <v/>
      </c>
    </row>
    <row r="19" spans="1:8" x14ac:dyDescent="0.35">
      <c r="A19" t="str">
        <f>IF(LARGE('Step 1 Regressions'!$AD$9:$AD$40,14)&lt;=0,"",14)</f>
        <v/>
      </c>
      <c r="B19" t="str" cm="1">
        <f t="array" ref="B19">IF(LARGE('Step 1 Regressions'!$AD$9:$AD$40,14)&lt;=0,"",INDEX('Step 1 Regressions'!$B$9:$B$40,MATCH(LARGE(('Step 1 Regressions'!$AD$9:$AD$40+ROW('Step 1 Regressions'!$AD$9:$AD$40)/1000000),14),('Step 1 Regressions'!$AD$9:$AD$40+ROW('Step 1 Regressions'!$AD$9:$AD$40)/1000000),0)))</f>
        <v/>
      </c>
      <c r="C19" t="str" cm="1">
        <f t="array" ref="C19">IF(LARGE('Step 1 Regressions'!$AD$9:$AD$40,14)&lt;=0,"",INDEX('Step 1 Regressions'!$T$9:$T$40,MATCH(LARGE(('Step 1 Regressions'!$AD$9:$AD$40+ROW('Step 1 Regressions'!$AD$9:$AD$40)/1000000),14),('Step 1 Regressions'!$AD$9:$AD$40+ROW('Step 1 Regressions'!$AD$9:$AD$40)/1000000),0)))</f>
        <v/>
      </c>
      <c r="D19" t="str" cm="1">
        <f t="array" ref="D19">IF(LARGE('Step 1 Regressions'!$AD$9:$AD$40,14)&lt;=0,"",INDEX('Step 1 Regressions'!$U$9:$U$40,MATCH(LARGE(('Step 1 Regressions'!$AD$9:$AD$40+ROW('Step 1 Regressions'!$AD$9:$AD$40)/1000000),14),('Step 1 Regressions'!$AD$9:$AD$40+ROW('Step 1 Regressions'!$AD$9:$AD$40)/1000000),0)))</f>
        <v/>
      </c>
      <c r="E19" t="str" cm="1">
        <f t="array" ref="E19">IF(LARGE('Step 1 Regressions'!$AD$9:$AD$40,14)&lt;=0,"",INDEX('Step 1 Regressions'!$V$9:$V$40,MATCH(LARGE(('Step 1 Regressions'!$AD$9:$AD$40+ROW('Step 1 Regressions'!$AD$9:$AD$40)/1000000),14),('Step 1 Regressions'!$AD$9:$AD$40+ROW('Step 1 Regressions'!$AD$9:$AD$40)/1000000),0)))</f>
        <v/>
      </c>
      <c r="F19" t="str">
        <f>IF(LARGE('Step 1 Regressions'!$AD$9:$AD$40,14)&lt;=0,"",LARGE('Step 1 Regressions'!$AD$9:$AD$40,14))</f>
        <v/>
      </c>
      <c r="G19" t="str">
        <f t="shared" si="0"/>
        <v/>
      </c>
      <c r="H19" s="63" t="str">
        <f t="shared" si="1"/>
        <v/>
      </c>
    </row>
    <row r="20" spans="1:8" x14ac:dyDescent="0.35">
      <c r="A20" s="60" t="str">
        <f>IF(LARGE('Step 1 Regressions'!$AD$9:$AD$40,15)&lt;=0,"",15)</f>
        <v/>
      </c>
      <c r="B20" t="str" cm="1">
        <f t="array" ref="B20">IF(LARGE('Step 1 Regressions'!$AD$9:$AD$40,15)&lt;=0,"",INDEX('Step 1 Regressions'!$B$9:$B$40,MATCH(LARGE(('Step 1 Regressions'!$AD$9:$AD$40+ROW('Step 1 Regressions'!$AD$9:$AD$40)/1000000),15),('Step 1 Regressions'!$AD$9:$AD$40+ROW('Step 1 Regressions'!$AD$9:$AD$40)/1000000),0)))</f>
        <v/>
      </c>
      <c r="C20" t="str" cm="1">
        <f t="array" ref="C20">IF(LARGE('Step 1 Regressions'!$AD$9:$AD$40,15)&lt;=0,"",INDEX('Step 1 Regressions'!$T$9:$T$40,MATCH(LARGE(('Step 1 Regressions'!$AD$9:$AD$40+ROW('Step 1 Regressions'!$AD$9:$AD$40)/1000000),15),('Step 1 Regressions'!$AD$9:$AD$40+ROW('Step 1 Regressions'!$AD$9:$AD$40)/1000000),0)))</f>
        <v/>
      </c>
      <c r="D20" t="str" cm="1">
        <f t="array" ref="D20">IF(LARGE('Step 1 Regressions'!$AD$9:$AD$40,15)&lt;=0,"",INDEX('Step 1 Regressions'!$U$9:$U$40,MATCH(LARGE(('Step 1 Regressions'!$AD$9:$AD$40+ROW('Step 1 Regressions'!$AD$9:$AD$40)/1000000),15),('Step 1 Regressions'!$AD$9:$AD$40+ROW('Step 1 Regressions'!$AD$9:$AD$40)/1000000),0)))</f>
        <v/>
      </c>
      <c r="E20" t="str" cm="1">
        <f t="array" ref="E20">IF(LARGE('Step 1 Regressions'!$AD$9:$AD$40,15)&lt;=0,"",INDEX('Step 1 Regressions'!$V$9:$V$40,MATCH(LARGE(('Step 1 Regressions'!$AD$9:$AD$40+ROW('Step 1 Regressions'!$AD$9:$AD$40)/1000000),15),('Step 1 Regressions'!$AD$9:$AD$40+ROW('Step 1 Regressions'!$AD$9:$AD$40)/1000000),0)))</f>
        <v/>
      </c>
      <c r="F20" t="str">
        <f>IF(LARGE('Step 1 Regressions'!$AD$9:$AD$40,15)&lt;=0,"",LARGE('Step 1 Regressions'!$AD$9:$AD$40,15))</f>
        <v/>
      </c>
      <c r="G20" t="str">
        <f t="shared" si="0"/>
        <v/>
      </c>
      <c r="H20" s="63" t="str">
        <f t="shared" si="1"/>
        <v/>
      </c>
    </row>
    <row r="21" spans="1:8" x14ac:dyDescent="0.35">
      <c r="A21" s="6" t="s">
        <v>44</v>
      </c>
      <c r="B21" s="6" t="s">
        <v>7</v>
      </c>
      <c r="C21" s="6" t="s">
        <v>113</v>
      </c>
      <c r="D21" s="6" t="s">
        <v>114</v>
      </c>
      <c r="E21" s="6" t="s">
        <v>115</v>
      </c>
      <c r="F21" s="6" t="s">
        <v>116</v>
      </c>
      <c r="G21" s="6" t="s">
        <v>117</v>
      </c>
      <c r="H21" s="64" t="s">
        <v>118</v>
      </c>
    </row>
    <row r="22" spans="1:8" x14ac:dyDescent="0.35">
      <c r="A22">
        <f>IF(SMALL('Step 1 Regressions'!$AD$9:$AD$40,1)&gt;=0,"",1)</f>
        <v>1</v>
      </c>
      <c r="B22" t="str" cm="1">
        <f t="array" ref="B22">IF(SMALL('Step 1 Regressions'!$AD$9:$AD$40,1)&gt;=0,"",INDEX('Step 1 Regressions'!$B$9:$B$40,MATCH(SMALL(('Step 1 Regressions'!$AD$9:$AD$40+ROW('Step 1 Regressions'!$AD$9:$AD$40)/1000000),1),('Step 1 Regressions'!$AD$9:$AD$40+ROW('Step 1 Regressions'!$AD$9:$AD$40)/1000000),0)))</f>
        <v>Vancouver Canucks</v>
      </c>
      <c r="C22" cm="1">
        <f t="array" ref="C22">IF(SMALL('Step 1 Regressions'!$AD$9:$AD$40,1)&gt;=0,"",INDEX('Step 1 Regressions'!$X$9:$X$40,MATCH(SMALL(('Step 1 Regressions'!$AD$9:$AD$40+ROW('Step 1 Regressions'!$AD$9:$AD$40)/1000000),1),('Step 1 Regressions'!$AD$9:$AD$40+ROW('Step 1 Regressions'!$AD$9:$AD$40)/1000000),0)))</f>
        <v>10</v>
      </c>
      <c r="D22" cm="1">
        <f t="array" ref="D22">IF(SMALL('Step 1 Regressions'!$AD$9:$AD$40,1)&gt;=0,"",INDEX('Step 1 Regressions'!$Y$9:$Y$40,MATCH(SMALL(('Step 1 Regressions'!$AD$9:$AD$40+ROW('Step 1 Regressions'!$AD$9:$AD$40)/1000000),1),('Step 1 Regressions'!$AD$9:$AD$40+ROW('Step 1 Regressions'!$AD$9:$AD$40)/1000000),0)))</f>
        <v>10</v>
      </c>
      <c r="E22" cm="1">
        <f t="array" ref="E22">IF(SMALL('Step 1 Regressions'!$AD$9:$AD$40,1)&gt;=0,"",INDEX('Step 1 Regressions'!$Z$9:$Z$40,MATCH(SMALL(('Step 1 Regressions'!$AD$9:$AD$40+ROW('Step 1 Regressions'!$AD$9:$AD$40)/1000000),1),('Step 1 Regressions'!$AD$9:$AD$40+ROW('Step 1 Regressions'!$AD$9:$AD$40)/1000000),0)))</f>
        <v>9</v>
      </c>
      <c r="F22">
        <f>IF(SMALL('Step 1 Regressions'!$AD$9:$AD$40,1)&gt;=0,"",SMALL('Step 1 Regressions'!$AD$9:$AD$40,1))</f>
        <v>-29</v>
      </c>
      <c r="G22" t="str">
        <f t="shared" ref="G22:G36" si="2">IF(F22="","",IF(ABS(F22)&gt;=20,"Dominant Luck Story",IF(ABS(F22)&gt;=15,"Consistently Unlucky",IF(ABS(F22)&gt;=10,"Moderately Unlucky","One-Model Signal"))))</f>
        <v>Dominant Luck Story</v>
      </c>
      <c r="H22" s="63" t="str">
        <f t="shared" ref="H22:H36" si="3">IF(F22="","",TRIM((IF(C22&gt;0,"A1: "&amp;C22&amp;" pts. ","No A1 signal. "))&amp;(IF(D22&gt;0,"A2: "&amp;D22&amp;" pts. ","No A2 signal. "))&amp;(IF(E22&gt;0,"A3: "&amp;E22&amp;" pts.","No A3 signal."))))</f>
        <v>A1: 10 pts. A2: 10 pts. A3: 9 pts.</v>
      </c>
    </row>
    <row r="23" spans="1:8" x14ac:dyDescent="0.35">
      <c r="A23">
        <f>IF(SMALL('Step 1 Regressions'!$AD$9:$AD$40,2)&gt;=0,"",2)</f>
        <v>2</v>
      </c>
      <c r="B23" t="str" cm="1">
        <f t="array" ref="B23">IF(SMALL('Step 1 Regressions'!$AD$9:$AD$40,2)&gt;=0,"",INDEX('Step 1 Regressions'!$B$9:$B$40,MATCH(SMALL(('Step 1 Regressions'!$AD$9:$AD$40+ROW('Step 1 Regressions'!$AD$9:$AD$40)/1000000),2),('Step 1 Regressions'!$AD$9:$AD$40+ROW('Step 1 Regressions'!$AD$9:$AD$40)/1000000),0)))</f>
        <v>New York Rangers</v>
      </c>
      <c r="C23" cm="1">
        <f t="array" ref="C23">IF(SMALL('Step 1 Regressions'!$AD$9:$AD$40,2)&gt;=0,"",INDEX('Step 1 Regressions'!$X$9:$X$40,MATCH(SMALL(('Step 1 Regressions'!$AD$9:$AD$40+ROW('Step 1 Regressions'!$AD$9:$AD$40)/1000000),2),('Step 1 Regressions'!$AD$9:$AD$40+ROW('Step 1 Regressions'!$AD$9:$AD$40)/1000000),0)))</f>
        <v>8</v>
      </c>
      <c r="D23" cm="1">
        <f t="array" ref="D23">IF(SMALL('Step 1 Regressions'!$AD$9:$AD$40,2)&gt;=0,"",INDEX('Step 1 Regressions'!$Y$9:$Y$40,MATCH(SMALL(('Step 1 Regressions'!$AD$9:$AD$40+ROW('Step 1 Regressions'!$AD$9:$AD$40)/1000000),2),('Step 1 Regressions'!$AD$9:$AD$40+ROW('Step 1 Regressions'!$AD$9:$AD$40)/1000000),0)))</f>
        <v>9</v>
      </c>
      <c r="E23" cm="1">
        <f t="array" ref="E23">IF(SMALL('Step 1 Regressions'!$AD$9:$AD$40,2)&gt;=0,"",INDEX('Step 1 Regressions'!$Z$9:$Z$40,MATCH(SMALL(('Step 1 Regressions'!$AD$9:$AD$40+ROW('Step 1 Regressions'!$AD$9:$AD$40)/1000000),2),('Step 1 Regressions'!$AD$9:$AD$40+ROW('Step 1 Regressions'!$AD$9:$AD$40)/1000000),0)))</f>
        <v>0</v>
      </c>
      <c r="F23">
        <f>IF(SMALL('Step 1 Regressions'!$AD$9:$AD$40,2)&gt;=0,"",SMALL('Step 1 Regressions'!$AD$9:$AD$40,2))</f>
        <v>-23</v>
      </c>
      <c r="G23" t="str">
        <f t="shared" si="2"/>
        <v>Dominant Luck Story</v>
      </c>
      <c r="H23" s="63" t="str">
        <f t="shared" si="3"/>
        <v>A1: 8 pts. A2: 9 pts. No A3 signal.</v>
      </c>
    </row>
    <row r="24" spans="1:8" x14ac:dyDescent="0.35">
      <c r="A24">
        <f>IF(SMALL('Step 1 Regressions'!$AD$9:$AD$40,3)&gt;=0,"",3)</f>
        <v>3</v>
      </c>
      <c r="B24" t="str" cm="1">
        <f t="array" ref="B24">IF(SMALL('Step 1 Regressions'!$AD$9:$AD$40,3)&gt;=0,"",INDEX('Step 1 Regressions'!$B$9:$B$40,MATCH(SMALL(('Step 1 Regressions'!$AD$9:$AD$40+ROW('Step 1 Regressions'!$AD$9:$AD$40)/1000000),3),('Step 1 Regressions'!$AD$9:$AD$40+ROW('Step 1 Regressions'!$AD$9:$AD$40)/1000000),0)))</f>
        <v>St. Louis Blues</v>
      </c>
      <c r="C24" cm="1">
        <f t="array" ref="C24">IF(SMALL('Step 1 Regressions'!$AD$9:$AD$40,3)&gt;=0,"",INDEX('Step 1 Regressions'!$X$9:$X$40,MATCH(SMALL(('Step 1 Regressions'!$AD$9:$AD$40+ROW('Step 1 Regressions'!$AD$9:$AD$40)/1000000),3),('Step 1 Regressions'!$AD$9:$AD$40+ROW('Step 1 Regressions'!$AD$9:$AD$40)/1000000),0)))</f>
        <v>2</v>
      </c>
      <c r="D24" cm="1">
        <f t="array" ref="D24">IF(SMALL('Step 1 Regressions'!$AD$9:$AD$40,3)&gt;=0,"",INDEX('Step 1 Regressions'!$Y$9:$Y$40,MATCH(SMALL(('Step 1 Regressions'!$AD$9:$AD$40+ROW('Step 1 Regressions'!$AD$9:$AD$40)/1000000),3),('Step 1 Regressions'!$AD$9:$AD$40+ROW('Step 1 Regressions'!$AD$9:$AD$40)/1000000),0)))</f>
        <v>6</v>
      </c>
      <c r="E24" cm="1">
        <f t="array" ref="E24">IF(SMALL('Step 1 Regressions'!$AD$9:$AD$40,3)&gt;=0,"",INDEX('Step 1 Regressions'!$Z$9:$Z$40,MATCH(SMALL(('Step 1 Regressions'!$AD$9:$AD$40+ROW('Step 1 Regressions'!$AD$9:$AD$40)/1000000),3),('Step 1 Regressions'!$AD$9:$AD$40+ROW('Step 1 Regressions'!$AD$9:$AD$40)/1000000),0)))</f>
        <v>0</v>
      </c>
      <c r="F24">
        <f>IF(SMALL('Step 1 Regressions'!$AD$9:$AD$40,3)&gt;=0,"",SMALL('Step 1 Regressions'!$AD$9:$AD$40,3))</f>
        <v>-13</v>
      </c>
      <c r="G24" t="str">
        <f t="shared" si="2"/>
        <v>Moderately Unlucky</v>
      </c>
      <c r="H24" s="63" t="str">
        <f t="shared" si="3"/>
        <v>A1: 2 pts. A2: 6 pts. No A3 signal.</v>
      </c>
    </row>
    <row r="25" spans="1:8" x14ac:dyDescent="0.35">
      <c r="A25">
        <f>IF(SMALL('Step 1 Regressions'!$AD$9:$AD$40,4)&gt;=0,"",4)</f>
        <v>4</v>
      </c>
      <c r="B25" t="str" cm="1">
        <f t="array" ref="B25">IF(SMALL('Step 1 Regressions'!$AD$9:$AD$40,4)&gt;=0,"",INDEX('Step 1 Regressions'!$B$9:$B$40,MATCH(SMALL(('Step 1 Regressions'!$AD$9:$AD$40+ROW('Step 1 Regressions'!$AD$9:$AD$40)/1000000),4),('Step 1 Regressions'!$AD$9:$AD$40+ROW('Step 1 Regressions'!$AD$9:$AD$40)/1000000),0)))</f>
        <v>Vegas Golden Knights</v>
      </c>
      <c r="C25" cm="1">
        <f t="array" ref="C25">IF(SMALL('Step 1 Regressions'!$AD$9:$AD$40,4)&gt;=0,"",INDEX('Step 1 Regressions'!$X$9:$X$40,MATCH(SMALL(('Step 1 Regressions'!$AD$9:$AD$40+ROW('Step 1 Regressions'!$AD$9:$AD$40)/1000000),4),('Step 1 Regressions'!$AD$9:$AD$40+ROW('Step 1 Regressions'!$AD$9:$AD$40)/1000000),0)))</f>
        <v>0</v>
      </c>
      <c r="D25" cm="1">
        <f t="array" ref="D25">IF(SMALL('Step 1 Regressions'!$AD$9:$AD$40,4)&gt;=0,"",INDEX('Step 1 Regressions'!$Y$9:$Y$40,MATCH(SMALL(('Step 1 Regressions'!$AD$9:$AD$40+ROW('Step 1 Regressions'!$AD$9:$AD$40)/1000000),4),('Step 1 Regressions'!$AD$9:$AD$40+ROW('Step 1 Regressions'!$AD$9:$AD$40)/1000000),0)))</f>
        <v>8</v>
      </c>
      <c r="E25" cm="1">
        <f t="array" ref="E25">IF(SMALL('Step 1 Regressions'!$AD$9:$AD$40,4)&gt;=0,"",INDEX('Step 1 Regressions'!$Z$9:$Z$40,MATCH(SMALL(('Step 1 Regressions'!$AD$9:$AD$40+ROW('Step 1 Regressions'!$AD$9:$AD$40)/1000000),4),('Step 1 Regressions'!$AD$9:$AD$40+ROW('Step 1 Regressions'!$AD$9:$AD$40)/1000000),0)))</f>
        <v>8</v>
      </c>
      <c r="F25">
        <f>IF(SMALL('Step 1 Regressions'!$AD$9:$AD$40,4)&gt;=0,"",SMALL('Step 1 Regressions'!$AD$9:$AD$40,4))</f>
        <v>-12</v>
      </c>
      <c r="G25" t="str">
        <f t="shared" si="2"/>
        <v>Moderately Unlucky</v>
      </c>
      <c r="H25" s="63" t="str">
        <f t="shared" si="3"/>
        <v>No A1 signal. A2: 8 pts. A3: 8 pts.</v>
      </c>
    </row>
    <row r="26" spans="1:8" x14ac:dyDescent="0.35">
      <c r="A26">
        <f>IF(SMALL('Step 1 Regressions'!$AD$9:$AD$40,5)&gt;=0,"",5)</f>
        <v>5</v>
      </c>
      <c r="B26" t="str" cm="1">
        <f t="array" ref="B26">IF(SMALL('Step 1 Regressions'!$AD$9:$AD$40,5)&gt;=0,"",INDEX('Step 1 Regressions'!$B$9:$B$40,MATCH(SMALL(('Step 1 Regressions'!$AD$9:$AD$40+ROW('Step 1 Regressions'!$AD$9:$AD$40)/1000000),5),('Step 1 Regressions'!$AD$9:$AD$40+ROW('Step 1 Regressions'!$AD$9:$AD$40)/1000000),0)))</f>
        <v>Utah Mammoth</v>
      </c>
      <c r="C26" cm="1">
        <f t="array" ref="C26">IF(SMALL('Step 1 Regressions'!$AD$9:$AD$40,5)&gt;=0,"",INDEX('Step 1 Regressions'!$X$9:$X$40,MATCH(SMALL(('Step 1 Regressions'!$AD$9:$AD$40+ROW('Step 1 Regressions'!$AD$9:$AD$40)/1000000),5),('Step 1 Regressions'!$AD$9:$AD$40+ROW('Step 1 Regressions'!$AD$9:$AD$40)/1000000),0)))</f>
        <v>0</v>
      </c>
      <c r="D26" cm="1">
        <f t="array" ref="D26">IF(SMALL('Step 1 Regressions'!$AD$9:$AD$40,5)&gt;=0,"",INDEX('Step 1 Regressions'!$Y$9:$Y$40,MATCH(SMALL(('Step 1 Regressions'!$AD$9:$AD$40+ROW('Step 1 Regressions'!$AD$9:$AD$40)/1000000),5),('Step 1 Regressions'!$AD$9:$AD$40+ROW('Step 1 Regressions'!$AD$9:$AD$40)/1000000),0)))</f>
        <v>7</v>
      </c>
      <c r="E26" cm="1">
        <f t="array" ref="E26">IF(SMALL('Step 1 Regressions'!$AD$9:$AD$40,5)&gt;=0,"",INDEX('Step 1 Regressions'!$Z$9:$Z$40,MATCH(SMALL(('Step 1 Regressions'!$AD$9:$AD$40+ROW('Step 1 Regressions'!$AD$9:$AD$40)/1000000),5),('Step 1 Regressions'!$AD$9:$AD$40+ROW('Step 1 Regressions'!$AD$9:$AD$40)/1000000),0)))</f>
        <v>0</v>
      </c>
      <c r="F26">
        <f>IF(SMALL('Step 1 Regressions'!$AD$9:$AD$40,5)&gt;=0,"",SMALL('Step 1 Regressions'!$AD$9:$AD$40,5))</f>
        <v>-11</v>
      </c>
      <c r="G26" t="str">
        <f t="shared" si="2"/>
        <v>Moderately Unlucky</v>
      </c>
      <c r="H26" s="63" t="str">
        <f t="shared" si="3"/>
        <v>No A1 signal. A2: 7 pts. No A3 signal.</v>
      </c>
    </row>
    <row r="27" spans="1:8" x14ac:dyDescent="0.35">
      <c r="A27">
        <f>IF(SMALL('Step 1 Regressions'!$AD$9:$AD$40,6)&gt;=0,"",6)</f>
        <v>6</v>
      </c>
      <c r="B27" t="str" cm="1">
        <f t="array" ref="B27">IF(SMALL('Step 1 Regressions'!$AD$9:$AD$40,6)&gt;=0,"",INDEX('Step 1 Regressions'!$B$9:$B$40,MATCH(SMALL(('Step 1 Regressions'!$AD$9:$AD$40+ROW('Step 1 Regressions'!$AD$9:$AD$40)/1000000),6),('Step 1 Regressions'!$AD$9:$AD$40+ROW('Step 1 Regressions'!$AD$9:$AD$40)/1000000),0)))</f>
        <v>Florida Panthers</v>
      </c>
      <c r="C27" cm="1">
        <f t="array" ref="C27">IF(SMALL('Step 1 Regressions'!$AD$9:$AD$40,6)&gt;=0,"",INDEX('Step 1 Regressions'!$X$9:$X$40,MATCH(SMALL(('Step 1 Regressions'!$AD$9:$AD$40+ROW('Step 1 Regressions'!$AD$9:$AD$40)/1000000),6),('Step 1 Regressions'!$AD$9:$AD$40+ROW('Step 1 Regressions'!$AD$9:$AD$40)/1000000),0)))</f>
        <v>0</v>
      </c>
      <c r="D27" cm="1">
        <f t="array" ref="D27">IF(SMALL('Step 1 Regressions'!$AD$9:$AD$40,6)&gt;=0,"",INDEX('Step 1 Regressions'!$Y$9:$Y$40,MATCH(SMALL(('Step 1 Regressions'!$AD$9:$AD$40+ROW('Step 1 Regressions'!$AD$9:$AD$40)/1000000),6),('Step 1 Regressions'!$AD$9:$AD$40+ROW('Step 1 Regressions'!$AD$9:$AD$40)/1000000),0)))</f>
        <v>5</v>
      </c>
      <c r="E27" cm="1">
        <f t="array" ref="E27">IF(SMALL('Step 1 Regressions'!$AD$9:$AD$40,6)&gt;=0,"",INDEX('Step 1 Regressions'!$Z$9:$Z$40,MATCH(SMALL(('Step 1 Regressions'!$AD$9:$AD$40+ROW('Step 1 Regressions'!$AD$9:$AD$40)/1000000),6),('Step 1 Regressions'!$AD$9:$AD$40+ROW('Step 1 Regressions'!$AD$9:$AD$40)/1000000),0)))</f>
        <v>6</v>
      </c>
      <c r="F27">
        <f>IF(SMALL('Step 1 Regressions'!$AD$9:$AD$40,6)&gt;=0,"",SMALL('Step 1 Regressions'!$AD$9:$AD$40,6))</f>
        <v>-11</v>
      </c>
      <c r="G27" t="str">
        <f t="shared" si="2"/>
        <v>Moderately Unlucky</v>
      </c>
      <c r="H27" s="63" t="str">
        <f t="shared" si="3"/>
        <v>No A1 signal. A2: 5 pts. A3: 6 pts.</v>
      </c>
    </row>
    <row r="28" spans="1:8" x14ac:dyDescent="0.35">
      <c r="A28">
        <f>IF(SMALL('Step 1 Regressions'!$AD$9:$AD$40,7)&gt;=0,"",7)</f>
        <v>7</v>
      </c>
      <c r="B28" t="str" cm="1">
        <f t="array" ref="B28">IF(SMALL('Step 1 Regressions'!$AD$9:$AD$40,7)&gt;=0,"",INDEX('Step 1 Regressions'!$B$9:$B$40,MATCH(SMALL(('Step 1 Regressions'!$AD$9:$AD$40+ROW('Step 1 Regressions'!$AD$9:$AD$40)/1000000),7),('Step 1 Regressions'!$AD$9:$AD$40+ROW('Step 1 Regressions'!$AD$9:$AD$40)/1000000),0)))</f>
        <v>Philadelphia Flyers</v>
      </c>
      <c r="C28" cm="1">
        <f t="array" ref="C28">IF(SMALL('Step 1 Regressions'!$AD$9:$AD$40,7)&gt;=0,"",INDEX('Step 1 Regressions'!$X$9:$X$40,MATCH(SMALL(('Step 1 Regressions'!$AD$9:$AD$40+ROW('Step 1 Regressions'!$AD$9:$AD$40)/1000000),7),('Step 1 Regressions'!$AD$9:$AD$40+ROW('Step 1 Regressions'!$AD$9:$AD$40)/1000000),0)))</f>
        <v>0</v>
      </c>
      <c r="D28" cm="1">
        <f t="array" ref="D28">IF(SMALL('Step 1 Regressions'!$AD$9:$AD$40,7)&gt;=0,"",INDEX('Step 1 Regressions'!$Y$9:$Y$40,MATCH(SMALL(('Step 1 Regressions'!$AD$9:$AD$40+ROW('Step 1 Regressions'!$AD$9:$AD$40)/1000000),7),('Step 1 Regressions'!$AD$9:$AD$40+ROW('Step 1 Regressions'!$AD$9:$AD$40)/1000000),0)))</f>
        <v>0</v>
      </c>
      <c r="E28" cm="1">
        <f t="array" ref="E28">IF(SMALL('Step 1 Regressions'!$AD$9:$AD$40,7)&gt;=0,"",INDEX('Step 1 Regressions'!$Z$9:$Z$40,MATCH(SMALL(('Step 1 Regressions'!$AD$9:$AD$40+ROW('Step 1 Regressions'!$AD$9:$AD$40)/1000000),7),('Step 1 Regressions'!$AD$9:$AD$40+ROW('Step 1 Regressions'!$AD$9:$AD$40)/1000000),0)))</f>
        <v>0</v>
      </c>
      <c r="F28">
        <f>IF(SMALL('Step 1 Regressions'!$AD$9:$AD$40,7)&gt;=0,"",SMALL('Step 1 Regressions'!$AD$9:$AD$40,7))</f>
        <v>-9</v>
      </c>
      <c r="G28" t="str">
        <f t="shared" si="2"/>
        <v>One-Model Signal</v>
      </c>
      <c r="H28" s="63" t="str">
        <f t="shared" si="3"/>
        <v>No A1 signal. No A2 signal. No A3 signal.</v>
      </c>
    </row>
    <row r="29" spans="1:8" x14ac:dyDescent="0.35">
      <c r="A29">
        <f>IF(SMALL('Step 1 Regressions'!$AD$9:$AD$40,8)&gt;=0,"",8)</f>
        <v>8</v>
      </c>
      <c r="B29" t="str" cm="1">
        <f t="array" ref="B29">IF(SMALL('Step 1 Regressions'!$AD$9:$AD$40,8)&gt;=0,"",INDEX('Step 1 Regressions'!$B$9:$B$40,MATCH(SMALL(('Step 1 Regressions'!$AD$9:$AD$40+ROW('Step 1 Regressions'!$AD$9:$AD$40)/1000000),8),('Step 1 Regressions'!$AD$9:$AD$40+ROW('Step 1 Regressions'!$AD$9:$AD$40)/1000000),0)))</f>
        <v>New Jersey Devils</v>
      </c>
      <c r="C29" cm="1">
        <f t="array" ref="C29">IF(SMALL('Step 1 Regressions'!$AD$9:$AD$40,8)&gt;=0,"",INDEX('Step 1 Regressions'!$X$9:$X$40,MATCH(SMALL(('Step 1 Regressions'!$AD$9:$AD$40+ROW('Step 1 Regressions'!$AD$9:$AD$40)/1000000),8),('Step 1 Regressions'!$AD$9:$AD$40+ROW('Step 1 Regressions'!$AD$9:$AD$40)/1000000),0)))</f>
        <v>0</v>
      </c>
      <c r="D29" cm="1">
        <f t="array" ref="D29">IF(SMALL('Step 1 Regressions'!$AD$9:$AD$40,8)&gt;=0,"",INDEX('Step 1 Regressions'!$Y$9:$Y$40,MATCH(SMALL(('Step 1 Regressions'!$AD$9:$AD$40+ROW('Step 1 Regressions'!$AD$9:$AD$40)/1000000),8),('Step 1 Regressions'!$AD$9:$AD$40+ROW('Step 1 Regressions'!$AD$9:$AD$40)/1000000),0)))</f>
        <v>0</v>
      </c>
      <c r="E29" cm="1">
        <f t="array" ref="E29">IF(SMALL('Step 1 Regressions'!$AD$9:$AD$40,8)&gt;=0,"",INDEX('Step 1 Regressions'!$Z$9:$Z$40,MATCH(SMALL(('Step 1 Regressions'!$AD$9:$AD$40+ROW('Step 1 Regressions'!$AD$9:$AD$40)/1000000),8),('Step 1 Regressions'!$AD$9:$AD$40+ROW('Step 1 Regressions'!$AD$9:$AD$40)/1000000),0)))</f>
        <v>10</v>
      </c>
      <c r="F29">
        <f>IF(SMALL('Step 1 Regressions'!$AD$9:$AD$40,8)&gt;=0,"",SMALL('Step 1 Regressions'!$AD$9:$AD$40,8))</f>
        <v>-9</v>
      </c>
      <c r="G29" t="str">
        <f t="shared" si="2"/>
        <v>One-Model Signal</v>
      </c>
      <c r="H29" s="63" t="str">
        <f t="shared" si="3"/>
        <v>No A1 signal. No A2 signal. A3: 10 pts.</v>
      </c>
    </row>
    <row r="30" spans="1:8" x14ac:dyDescent="0.35">
      <c r="A30">
        <f>IF(SMALL('Step 1 Regressions'!$AD$9:$AD$40,9)&gt;=0,"",9)</f>
        <v>9</v>
      </c>
      <c r="B30" t="str" cm="1">
        <f t="array" ref="B30">IF(SMALL('Step 1 Regressions'!$AD$9:$AD$40,9)&gt;=0,"",INDEX('Step 1 Regressions'!$B$9:$B$40,MATCH(SMALL(('Step 1 Regressions'!$AD$9:$AD$40+ROW('Step 1 Regressions'!$AD$9:$AD$40)/1000000),9),('Step 1 Regressions'!$AD$9:$AD$40+ROW('Step 1 Regressions'!$AD$9:$AD$40)/1000000),0)))</f>
        <v>San Jose Sharks</v>
      </c>
      <c r="C30" cm="1">
        <f t="array" ref="C30">IF(SMALL('Step 1 Regressions'!$AD$9:$AD$40,9)&gt;=0,"",INDEX('Step 1 Regressions'!$X$9:$X$40,MATCH(SMALL(('Step 1 Regressions'!$AD$9:$AD$40+ROW('Step 1 Regressions'!$AD$9:$AD$40)/1000000),9),('Step 1 Regressions'!$AD$9:$AD$40+ROW('Step 1 Regressions'!$AD$9:$AD$40)/1000000),0)))</f>
        <v>0</v>
      </c>
      <c r="D30" cm="1">
        <f t="array" ref="D30">IF(SMALL('Step 1 Regressions'!$AD$9:$AD$40,9)&gt;=0,"",INDEX('Step 1 Regressions'!$Y$9:$Y$40,MATCH(SMALL(('Step 1 Regressions'!$AD$9:$AD$40+ROW('Step 1 Regressions'!$AD$9:$AD$40)/1000000),9),('Step 1 Regressions'!$AD$9:$AD$40+ROW('Step 1 Regressions'!$AD$9:$AD$40)/1000000),0)))</f>
        <v>0</v>
      </c>
      <c r="E30" cm="1">
        <f t="array" ref="E30">IF(SMALL('Step 1 Regressions'!$AD$9:$AD$40,9)&gt;=0,"",INDEX('Step 1 Regressions'!$Z$9:$Z$40,MATCH(SMALL(('Step 1 Regressions'!$AD$9:$AD$40+ROW('Step 1 Regressions'!$AD$9:$AD$40)/1000000),9),('Step 1 Regressions'!$AD$9:$AD$40+ROW('Step 1 Regressions'!$AD$9:$AD$40)/1000000),0)))</f>
        <v>0</v>
      </c>
      <c r="F30">
        <f>IF(SMALL('Step 1 Regressions'!$AD$9:$AD$40,9)&gt;=0,"",SMALL('Step 1 Regressions'!$AD$9:$AD$40,9))</f>
        <v>-8</v>
      </c>
      <c r="G30" t="str">
        <f t="shared" si="2"/>
        <v>One-Model Signal</v>
      </c>
      <c r="H30" s="63" t="str">
        <f t="shared" si="3"/>
        <v>No A1 signal. No A2 signal. No A3 signal.</v>
      </c>
    </row>
    <row r="31" spans="1:8" x14ac:dyDescent="0.35">
      <c r="A31">
        <f>IF(SMALL('Step 1 Regressions'!$AD$9:$AD$40,10)&gt;=0,"",10)</f>
        <v>10</v>
      </c>
      <c r="B31" t="str" cm="1">
        <f t="array" ref="B31">IF(SMALL('Step 1 Regressions'!$AD$9:$AD$40,10)&gt;=0,"",INDEX('Step 1 Regressions'!$B$9:$B$40,MATCH(SMALL(('Step 1 Regressions'!$AD$9:$AD$40+ROW('Step 1 Regressions'!$AD$9:$AD$40)/1000000),10),('Step 1 Regressions'!$AD$9:$AD$40+ROW('Step 1 Regressions'!$AD$9:$AD$40)/1000000),0)))</f>
        <v>Ottawa Senators</v>
      </c>
      <c r="C31" cm="1">
        <f t="array" ref="C31">IF(SMALL('Step 1 Regressions'!$AD$9:$AD$40,10)&gt;=0,"",INDEX('Step 1 Regressions'!$X$9:$X$40,MATCH(SMALL(('Step 1 Regressions'!$AD$9:$AD$40+ROW('Step 1 Regressions'!$AD$9:$AD$40)/1000000),10),('Step 1 Regressions'!$AD$9:$AD$40+ROW('Step 1 Regressions'!$AD$9:$AD$40)/1000000),0)))</f>
        <v>0</v>
      </c>
      <c r="D31" cm="1">
        <f t="array" ref="D31">IF(SMALL('Step 1 Regressions'!$AD$9:$AD$40,10)&gt;=0,"",INDEX('Step 1 Regressions'!$Y$9:$Y$40,MATCH(SMALL(('Step 1 Regressions'!$AD$9:$AD$40+ROW('Step 1 Regressions'!$AD$9:$AD$40)/1000000),10),('Step 1 Regressions'!$AD$9:$AD$40+ROW('Step 1 Regressions'!$AD$9:$AD$40)/1000000),0)))</f>
        <v>4</v>
      </c>
      <c r="E31" cm="1">
        <f t="array" ref="E31">IF(SMALL('Step 1 Regressions'!$AD$9:$AD$40,10)&gt;=0,"",INDEX('Step 1 Regressions'!$Z$9:$Z$40,MATCH(SMALL(('Step 1 Regressions'!$AD$9:$AD$40+ROW('Step 1 Regressions'!$AD$9:$AD$40)/1000000),10),('Step 1 Regressions'!$AD$9:$AD$40+ROW('Step 1 Regressions'!$AD$9:$AD$40)/1000000),0)))</f>
        <v>3</v>
      </c>
      <c r="F31">
        <f>IF(SMALL('Step 1 Regressions'!$AD$9:$AD$40,10)&gt;=0,"",SMALL('Step 1 Regressions'!$AD$9:$AD$40,10))</f>
        <v>-7</v>
      </c>
      <c r="G31" t="str">
        <f t="shared" si="2"/>
        <v>One-Model Signal</v>
      </c>
      <c r="H31" s="63" t="str">
        <f t="shared" si="3"/>
        <v>No A1 signal. A2: 4 pts. A3: 3 pts.</v>
      </c>
    </row>
    <row r="32" spans="1:8" x14ac:dyDescent="0.35">
      <c r="A32">
        <f>IF(SMALL('Step 1 Regressions'!$AD$9:$AD$40,11)&gt;=0,"",11)</f>
        <v>11</v>
      </c>
      <c r="B32" t="str" cm="1">
        <f t="array" ref="B32">IF(SMALL('Step 1 Regressions'!$AD$9:$AD$40,11)&gt;=0,"",INDEX('Step 1 Regressions'!$B$9:$B$40,MATCH(SMALL(('Step 1 Regressions'!$AD$9:$AD$40+ROW('Step 1 Regressions'!$AD$9:$AD$40)/1000000),11),('Step 1 Regressions'!$AD$9:$AD$40+ROW('Step 1 Regressions'!$AD$9:$AD$40)/1000000),0)))</f>
        <v>Edmonton Oilers</v>
      </c>
      <c r="C32" cm="1">
        <f t="array" ref="C32">IF(SMALL('Step 1 Regressions'!$AD$9:$AD$40,11)&gt;=0,"",INDEX('Step 1 Regressions'!$X$9:$X$40,MATCH(SMALL(('Step 1 Regressions'!$AD$9:$AD$40+ROW('Step 1 Regressions'!$AD$9:$AD$40)/1000000),11),('Step 1 Regressions'!$AD$9:$AD$40+ROW('Step 1 Regressions'!$AD$9:$AD$40)/1000000),0)))</f>
        <v>0</v>
      </c>
      <c r="D32" cm="1">
        <f t="array" ref="D32">IF(SMALL('Step 1 Regressions'!$AD$9:$AD$40,11)&gt;=0,"",INDEX('Step 1 Regressions'!$Y$9:$Y$40,MATCH(SMALL(('Step 1 Regressions'!$AD$9:$AD$40+ROW('Step 1 Regressions'!$AD$9:$AD$40)/1000000),11),('Step 1 Regressions'!$AD$9:$AD$40+ROW('Step 1 Regressions'!$AD$9:$AD$40)/1000000),0)))</f>
        <v>2</v>
      </c>
      <c r="E32" cm="1">
        <f t="array" ref="E32">IF(SMALL('Step 1 Regressions'!$AD$9:$AD$40,11)&gt;=0,"",INDEX('Step 1 Regressions'!$Z$9:$Z$40,MATCH(SMALL(('Step 1 Regressions'!$AD$9:$AD$40+ROW('Step 1 Regressions'!$AD$9:$AD$40)/1000000),11),('Step 1 Regressions'!$AD$9:$AD$40+ROW('Step 1 Regressions'!$AD$9:$AD$40)/1000000),0)))</f>
        <v>7</v>
      </c>
      <c r="F32">
        <f>IF(SMALL('Step 1 Regressions'!$AD$9:$AD$40,11)&gt;=0,"",SMALL('Step 1 Regressions'!$AD$9:$AD$40,11))</f>
        <v>-5</v>
      </c>
      <c r="G32" t="str">
        <f t="shared" si="2"/>
        <v>One-Model Signal</v>
      </c>
      <c r="H32" s="63" t="str">
        <f t="shared" si="3"/>
        <v>No A1 signal. A2: 2 pts. A3: 7 pts.</v>
      </c>
    </row>
    <row r="33" spans="1:8" x14ac:dyDescent="0.35">
      <c r="A33">
        <f>IF(SMALL('Step 1 Regressions'!$AD$9:$AD$40,12)&gt;=0,"",12)</f>
        <v>12</v>
      </c>
      <c r="B33" t="str" cm="1">
        <f t="array" ref="B33">IF(SMALL('Step 1 Regressions'!$AD$9:$AD$40,12)&gt;=0,"",INDEX('Step 1 Regressions'!$B$9:$B$40,MATCH(SMALL(('Step 1 Regressions'!$AD$9:$AD$40+ROW('Step 1 Regressions'!$AD$9:$AD$40)/1000000),12),('Step 1 Regressions'!$AD$9:$AD$40+ROW('Step 1 Regressions'!$AD$9:$AD$40)/1000000),0)))</f>
        <v>Anaheim Ducks</v>
      </c>
      <c r="C33" cm="1">
        <f t="array" ref="C33">IF(SMALL('Step 1 Regressions'!$AD$9:$AD$40,12)&gt;=0,"",INDEX('Step 1 Regressions'!$X$9:$X$40,MATCH(SMALL(('Step 1 Regressions'!$AD$9:$AD$40+ROW('Step 1 Regressions'!$AD$9:$AD$40)/1000000),12),('Step 1 Regressions'!$AD$9:$AD$40+ROW('Step 1 Regressions'!$AD$9:$AD$40)/1000000),0)))</f>
        <v>0</v>
      </c>
      <c r="D33" cm="1">
        <f t="array" ref="D33">IF(SMALL('Step 1 Regressions'!$AD$9:$AD$40,12)&gt;=0,"",INDEX('Step 1 Regressions'!$Y$9:$Y$40,MATCH(SMALL(('Step 1 Regressions'!$AD$9:$AD$40+ROW('Step 1 Regressions'!$AD$9:$AD$40)/1000000),12),('Step 1 Regressions'!$AD$9:$AD$40+ROW('Step 1 Regressions'!$AD$9:$AD$40)/1000000),0)))</f>
        <v>0</v>
      </c>
      <c r="E33" cm="1">
        <f t="array" ref="E33">IF(SMALL('Step 1 Regressions'!$AD$9:$AD$40,12)&gt;=0,"",INDEX('Step 1 Regressions'!$Z$9:$Z$40,MATCH(SMALL(('Step 1 Regressions'!$AD$9:$AD$40+ROW('Step 1 Regressions'!$AD$9:$AD$40)/1000000),12),('Step 1 Regressions'!$AD$9:$AD$40+ROW('Step 1 Regressions'!$AD$9:$AD$40)/1000000),0)))</f>
        <v>5</v>
      </c>
      <c r="F33">
        <f>IF(SMALL('Step 1 Regressions'!$AD$9:$AD$40,12)&gt;=0,"",SMALL('Step 1 Regressions'!$AD$9:$AD$40,12))</f>
        <v>-5</v>
      </c>
      <c r="G33" t="str">
        <f t="shared" si="2"/>
        <v>One-Model Signal</v>
      </c>
      <c r="H33" s="63" t="str">
        <f t="shared" si="3"/>
        <v>No A1 signal. No A2 signal. A3: 5 pts.</v>
      </c>
    </row>
    <row r="34" spans="1:8" x14ac:dyDescent="0.35">
      <c r="A34">
        <f>IF(SMALL('Step 1 Regressions'!$AD$9:$AD$40,13)&gt;=0,"",13)</f>
        <v>13</v>
      </c>
      <c r="B34" t="str" cm="1">
        <f t="array" ref="B34">IF(SMALL('Step 1 Regressions'!$AD$9:$AD$40,13)&gt;=0,"",INDEX('Step 1 Regressions'!$B$9:$B$40,MATCH(SMALL(('Step 1 Regressions'!$AD$9:$AD$40+ROW('Step 1 Regressions'!$AD$9:$AD$40)/1000000),13),('Step 1 Regressions'!$AD$9:$AD$40+ROW('Step 1 Regressions'!$AD$9:$AD$40)/1000000),0)))</f>
        <v>Toronto Maple Leafs</v>
      </c>
      <c r="C34" cm="1">
        <f t="array" ref="C34">IF(SMALL('Step 1 Regressions'!$AD$9:$AD$40,13)&gt;=0,"",INDEX('Step 1 Regressions'!$X$9:$X$40,MATCH(SMALL(('Step 1 Regressions'!$AD$9:$AD$40+ROW('Step 1 Regressions'!$AD$9:$AD$40)/1000000),13),('Step 1 Regressions'!$AD$9:$AD$40+ROW('Step 1 Regressions'!$AD$9:$AD$40)/1000000),0)))</f>
        <v>5</v>
      </c>
      <c r="D34" cm="1">
        <f t="array" ref="D34">IF(SMALL('Step 1 Regressions'!$AD$9:$AD$40,13)&gt;=0,"",INDEX('Step 1 Regressions'!$Y$9:$Y$40,MATCH(SMALL(('Step 1 Regressions'!$AD$9:$AD$40+ROW('Step 1 Regressions'!$AD$9:$AD$40)/1000000),13),('Step 1 Regressions'!$AD$9:$AD$40+ROW('Step 1 Regressions'!$AD$9:$AD$40)/1000000),0)))</f>
        <v>0</v>
      </c>
      <c r="E34" cm="1">
        <f t="array" ref="E34">IF(SMALL('Step 1 Regressions'!$AD$9:$AD$40,13)&gt;=0,"",INDEX('Step 1 Regressions'!$Z$9:$Z$40,MATCH(SMALL(('Step 1 Regressions'!$AD$9:$AD$40+ROW('Step 1 Regressions'!$AD$9:$AD$40)/1000000),13),('Step 1 Regressions'!$AD$9:$AD$40+ROW('Step 1 Regressions'!$AD$9:$AD$40)/1000000),0)))</f>
        <v>0</v>
      </c>
      <c r="F34">
        <f>IF(SMALL('Step 1 Regressions'!$AD$9:$AD$40,13)&gt;=0,"",SMALL('Step 1 Regressions'!$AD$9:$AD$40,13))</f>
        <v>-5</v>
      </c>
      <c r="G34" t="str">
        <f t="shared" si="2"/>
        <v>One-Model Signal</v>
      </c>
      <c r="H34" s="63" t="str">
        <f t="shared" si="3"/>
        <v>A1: 5 pts. No A2 signal. No A3 signal.</v>
      </c>
    </row>
    <row r="35" spans="1:8" x14ac:dyDescent="0.35">
      <c r="A35">
        <f>IF(SMALL('Step 1 Regressions'!$AD$9:$AD$40,14)&gt;=0,"",14)</f>
        <v>14</v>
      </c>
      <c r="B35" t="str" cm="1">
        <f t="array" ref="B35">IF(SMALL('Step 1 Regressions'!$AD$9:$AD$40,14)&gt;=0,"",INDEX('Step 1 Regressions'!$B$9:$B$40,MATCH(SMALL(('Step 1 Regressions'!$AD$9:$AD$40+ROW('Step 1 Regressions'!$AD$9:$AD$40)/1000000),14),('Step 1 Regressions'!$AD$9:$AD$40+ROW('Step 1 Regressions'!$AD$9:$AD$40)/1000000),0)))</f>
        <v>Detroit Red Wings</v>
      </c>
      <c r="C35" cm="1">
        <f t="array" ref="C35">IF(SMALL('Step 1 Regressions'!$AD$9:$AD$40,14)&gt;=0,"",INDEX('Step 1 Regressions'!$X$9:$X$40,MATCH(SMALL(('Step 1 Regressions'!$AD$9:$AD$40+ROW('Step 1 Regressions'!$AD$9:$AD$40)/1000000),14),('Step 1 Regressions'!$AD$9:$AD$40+ROW('Step 1 Regressions'!$AD$9:$AD$40)/1000000),0)))</f>
        <v>0</v>
      </c>
      <c r="D35" cm="1">
        <f t="array" ref="D35">IF(SMALL('Step 1 Regressions'!$AD$9:$AD$40,14)&gt;=0,"",INDEX('Step 1 Regressions'!$Y$9:$Y$40,MATCH(SMALL(('Step 1 Regressions'!$AD$9:$AD$40+ROW('Step 1 Regressions'!$AD$9:$AD$40)/1000000),14),('Step 1 Regressions'!$AD$9:$AD$40+ROW('Step 1 Regressions'!$AD$9:$AD$40)/1000000),0)))</f>
        <v>0</v>
      </c>
      <c r="E35" cm="1">
        <f t="array" ref="E35">IF(SMALL('Step 1 Regressions'!$AD$9:$AD$40,14)&gt;=0,"",INDEX('Step 1 Regressions'!$Z$9:$Z$40,MATCH(SMALL(('Step 1 Regressions'!$AD$9:$AD$40+ROW('Step 1 Regressions'!$AD$9:$AD$40)/1000000),14),('Step 1 Regressions'!$AD$9:$AD$40+ROW('Step 1 Regressions'!$AD$9:$AD$40)/1000000),0)))</f>
        <v>4</v>
      </c>
      <c r="F35">
        <f>IF(SMALL('Step 1 Regressions'!$AD$9:$AD$40,14)&gt;=0,"",SMALL('Step 1 Regressions'!$AD$9:$AD$40,14))</f>
        <v>-4</v>
      </c>
      <c r="G35" t="str">
        <f t="shared" si="2"/>
        <v>One-Model Signal</v>
      </c>
      <c r="H35" s="63" t="str">
        <f t="shared" si="3"/>
        <v>No A1 signal. No A2 signal. A3: 4 pts.</v>
      </c>
    </row>
    <row r="36" spans="1:8" x14ac:dyDescent="0.35">
      <c r="A36">
        <f>IF(SMALL('Step 1 Regressions'!$AD$9:$AD$40,15)&gt;=0,"",15)</f>
        <v>15</v>
      </c>
      <c r="B36" t="str" cm="1">
        <f t="array" ref="B36">IF(SMALL('Step 1 Regressions'!$AD$9:$AD$40,15)&gt;=0,"",INDEX('Step 1 Regressions'!$B$9:$B$40,MATCH(SMALL(('Step 1 Regressions'!$AD$9:$AD$40+ROW('Step 1 Regressions'!$AD$9:$AD$40)/1000000),15),('Step 1 Regressions'!$AD$9:$AD$40+ROW('Step 1 Regressions'!$AD$9:$AD$40)/1000000),0)))</f>
        <v>Winnipeg Jets</v>
      </c>
      <c r="C36" cm="1">
        <f t="array" ref="C36">IF(SMALL('Step 1 Regressions'!$AD$9:$AD$40,15)&gt;=0,"",INDEX('Step 1 Regressions'!$X$9:$X$40,MATCH(SMALL(('Step 1 Regressions'!$AD$9:$AD$40+ROW('Step 1 Regressions'!$AD$9:$AD$40)/1000000),15),('Step 1 Regressions'!$AD$9:$AD$40+ROW('Step 1 Regressions'!$AD$9:$AD$40)/1000000),0)))</f>
        <v>3</v>
      </c>
      <c r="D36" cm="1">
        <f t="array" ref="D36">IF(SMALL('Step 1 Regressions'!$AD$9:$AD$40,15)&gt;=0,"",INDEX('Step 1 Regressions'!$Y$9:$Y$40,MATCH(SMALL(('Step 1 Regressions'!$AD$9:$AD$40+ROW('Step 1 Regressions'!$AD$9:$AD$40)/1000000),15),('Step 1 Regressions'!$AD$9:$AD$40+ROW('Step 1 Regressions'!$AD$9:$AD$40)/1000000),0)))</f>
        <v>1</v>
      </c>
      <c r="E36" cm="1">
        <f t="array" ref="E36">IF(SMALL('Step 1 Regressions'!$AD$9:$AD$40,15)&gt;=0,"",INDEX('Step 1 Regressions'!$Z$9:$Z$40,MATCH(SMALL(('Step 1 Regressions'!$AD$9:$AD$40+ROW('Step 1 Regressions'!$AD$9:$AD$40)/1000000),15),('Step 1 Regressions'!$AD$9:$AD$40+ROW('Step 1 Regressions'!$AD$9:$AD$40)/1000000),0)))</f>
        <v>0</v>
      </c>
      <c r="F36">
        <f>IF(SMALL('Step 1 Regressions'!$AD$9:$AD$40,15)&gt;=0,"",SMALL('Step 1 Regressions'!$AD$9:$AD$40,15))</f>
        <v>-4</v>
      </c>
      <c r="G36" t="str">
        <f t="shared" si="2"/>
        <v>One-Model Signal</v>
      </c>
      <c r="H36" s="63" t="str">
        <f t="shared" si="3"/>
        <v>A1: 3 pts. A2: 1 pts. No A3 signal.</v>
      </c>
    </row>
    <row r="37" spans="1:8" x14ac:dyDescent="0.35">
      <c r="A37" s="48" t="s">
        <v>119</v>
      </c>
    </row>
    <row r="38" spans="1:8" x14ac:dyDescent="0.35">
      <c r="A38" s="6" t="s">
        <v>44</v>
      </c>
      <c r="B38" s="6" t="s">
        <v>120</v>
      </c>
      <c r="C38" s="6" t="s">
        <v>116</v>
      </c>
      <c r="D38" s="62" t="s">
        <v>121</v>
      </c>
      <c r="E38" s="6" t="s">
        <v>44</v>
      </c>
      <c r="F38" s="6" t="s">
        <v>122</v>
      </c>
      <c r="G38" s="6" t="s">
        <v>116</v>
      </c>
      <c r="H38" s="6" t="s">
        <v>127</v>
      </c>
    </row>
    <row r="39" spans="1:8" x14ac:dyDescent="0.35">
      <c r="A39">
        <v>1</v>
      </c>
      <c r="B39" t="str" cm="1">
        <f t="array" ref="B39">INDEX('Step 1 Regressions'!$B$9:$B$40,MATCH(LARGE(('Step 1 Regressions'!$AD$9:$AD$40+ROW('Step 1 Regressions'!$AD$9:$AD$40)/1000000),1),('Step 1 Regressions'!$AD$9:$AD$40+ROW('Step 1 Regressions'!$AD$9:$AD$40)/1000000),0))</f>
        <v>Buffalo Sabres</v>
      </c>
      <c r="C39">
        <f>LARGE('Step 1 Regressions'!$AD$9:$AD$40,1)</f>
        <v>27</v>
      </c>
      <c r="E39">
        <v>1</v>
      </c>
      <c r="F39" t="str" cm="1">
        <f t="array" ref="F39">INDEX('Step 1 Regressions'!$B$9:$B$40,MATCH(SMALL(('Step 1 Regressions'!$AD$9:$AD$40+ROW('Step 1 Regressions'!$AD$9:$AD$40)/1000000),1),('Step 1 Regressions'!$AD$9:$AD$40+ROW('Step 1 Regressions'!$AD$9:$AD$40)/1000000),0))</f>
        <v>Vancouver Canucks</v>
      </c>
      <c r="G39">
        <f>SMALL('Step 1 Regressions'!$AD$9:$AD$40,1)</f>
        <v>-29</v>
      </c>
    </row>
    <row r="40" spans="1:8" x14ac:dyDescent="0.35">
      <c r="A40">
        <v>2</v>
      </c>
      <c r="B40" t="str" cm="1">
        <f t="array" ref="B40">INDEX('Step 1 Regressions'!$B$9:$B$40,MATCH(LARGE(('Step 1 Regressions'!$AD$9:$AD$40+ROW('Step 1 Regressions'!$AD$9:$AD$40)/1000000),2),('Step 1 Regressions'!$AD$9:$AD$40+ROW('Step 1 Regressions'!$AD$9:$AD$40)/1000000),0))</f>
        <v>Boston Bruins</v>
      </c>
      <c r="C40">
        <f>LARGE('Step 1 Regressions'!$AD$9:$AD$40,2)</f>
        <v>25</v>
      </c>
      <c r="E40">
        <v>2</v>
      </c>
      <c r="F40" t="str" cm="1">
        <f t="array" ref="F40">INDEX('Step 1 Regressions'!$B$9:$B$40,MATCH(SMALL(('Step 1 Regressions'!$AD$9:$AD$40+ROW('Step 1 Regressions'!$AD$9:$AD$40)/1000000),2),('Step 1 Regressions'!$AD$9:$AD$40+ROW('Step 1 Regressions'!$AD$9:$AD$40)/1000000),0))</f>
        <v>New York Rangers</v>
      </c>
      <c r="G40">
        <f>SMALL('Step 1 Regressions'!$AD$9:$AD$40,2)</f>
        <v>-23</v>
      </c>
    </row>
    <row r="41" spans="1:8" x14ac:dyDescent="0.35">
      <c r="A41">
        <v>3</v>
      </c>
      <c r="B41" t="str" cm="1">
        <f t="array" ref="B41">INDEX('Step 1 Regressions'!$B$9:$B$40,MATCH(LARGE(('Step 1 Regressions'!$AD$9:$AD$40+ROW('Step 1 Regressions'!$AD$9:$AD$40)/1000000),3),('Step 1 Regressions'!$AD$9:$AD$40+ROW('Step 1 Regressions'!$AD$9:$AD$40)/1000000),0))</f>
        <v>Colorado Avalanche*</v>
      </c>
      <c r="C41">
        <f>LARGE('Step 1 Regressions'!$AD$9:$AD$40,3)</f>
        <v>22</v>
      </c>
      <c r="E41">
        <v>3</v>
      </c>
      <c r="F41" t="str" cm="1">
        <f t="array" ref="F41">INDEX('Step 1 Regressions'!$B$9:$B$40,MATCH(SMALL(('Step 1 Regressions'!$AD$9:$AD$40+ROW('Step 1 Regressions'!$AD$9:$AD$40)/1000000),3),('Step 1 Regressions'!$AD$9:$AD$40+ROW('Step 1 Regressions'!$AD$9:$AD$40)/1000000),0))</f>
        <v>St. Louis Blues</v>
      </c>
      <c r="G41">
        <f>SMALL('Step 1 Regressions'!$AD$9:$AD$40,3)</f>
        <v>-13</v>
      </c>
    </row>
    <row r="42" spans="1:8" x14ac:dyDescent="0.35">
      <c r="A42">
        <v>4</v>
      </c>
      <c r="B42" t="str" cm="1">
        <f t="array" ref="B42">INDEX('Step 1 Regressions'!$B$9:$B$40,MATCH(LARGE(('Step 1 Regressions'!$AD$9:$AD$40+ROW('Step 1 Regressions'!$AD$9:$AD$40)/1000000),4),('Step 1 Regressions'!$AD$9:$AD$40+ROW('Step 1 Regressions'!$AD$9:$AD$40)/1000000),0))</f>
        <v>Carolina Hurricanes</v>
      </c>
      <c r="C42">
        <f>LARGE('Step 1 Regressions'!$AD$9:$AD$40,4)</f>
        <v>19</v>
      </c>
      <c r="E42">
        <v>4</v>
      </c>
      <c r="F42" t="str" cm="1">
        <f t="array" ref="F42">INDEX('Step 1 Regressions'!$B$9:$B$40,MATCH(SMALL(('Step 1 Regressions'!$AD$9:$AD$40+ROW('Step 1 Regressions'!$AD$9:$AD$40)/1000000),4),('Step 1 Regressions'!$AD$9:$AD$40+ROW('Step 1 Regressions'!$AD$9:$AD$40)/1000000),0))</f>
        <v>Vegas Golden Knights</v>
      </c>
      <c r="G42">
        <f>SMALL('Step 1 Regressions'!$AD$9:$AD$40,4)</f>
        <v>-12</v>
      </c>
    </row>
    <row r="43" spans="1:8" x14ac:dyDescent="0.35">
      <c r="A43">
        <v>5</v>
      </c>
      <c r="B43" t="str" cm="1">
        <f t="array" ref="B43">INDEX('Step 1 Regressions'!$B$9:$B$40,MATCH(LARGE(('Step 1 Regressions'!$AD$9:$AD$40+ROW('Step 1 Regressions'!$AD$9:$AD$40)/1000000),5),('Step 1 Regressions'!$AD$9:$AD$40+ROW('Step 1 Regressions'!$AD$9:$AD$40)/1000000),0))</f>
        <v>Montreal Canadiens</v>
      </c>
      <c r="C43">
        <f>LARGE('Step 1 Regressions'!$AD$9:$AD$40,5)</f>
        <v>17</v>
      </c>
      <c r="E43">
        <v>5</v>
      </c>
      <c r="F43" t="str" cm="1">
        <f t="array" ref="F43">INDEX('Step 1 Regressions'!$B$9:$B$40,MATCH(SMALL(('Step 1 Regressions'!$AD$9:$AD$40+ROW('Step 1 Regressions'!$AD$9:$AD$40)/1000000),5),('Step 1 Regressions'!$AD$9:$AD$40+ROW('Step 1 Regressions'!$AD$9:$AD$40)/1000000),0))</f>
        <v>Utah Mammoth</v>
      </c>
      <c r="G43">
        <f>SMALL('Step 1 Regressions'!$AD$9:$AD$40,5)</f>
        <v>-11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E332-51AB-4631-BD68-DF7B3913AC9D}">
  <dimension ref="A1:CS98"/>
  <sheetViews>
    <sheetView topLeftCell="B5" zoomScale="38" zoomScaleNormal="44" workbookViewId="0">
      <selection activeCell="G55" sqref="G55"/>
    </sheetView>
  </sheetViews>
  <sheetFormatPr defaultRowHeight="15.5" x14ac:dyDescent="0.35"/>
  <cols>
    <col min="2" max="2" width="54.75" bestFit="1" customWidth="1"/>
    <col min="3" max="3" width="27.6640625" bestFit="1" customWidth="1"/>
    <col min="4" max="4" width="8.08203125" bestFit="1" customWidth="1"/>
    <col min="5" max="5" width="8.33203125" bestFit="1" customWidth="1"/>
    <col min="6" max="6" width="11.6640625" bestFit="1" customWidth="1"/>
    <col min="7" max="7" width="11.83203125" bestFit="1" customWidth="1"/>
    <col min="8" max="8" width="13.5" bestFit="1" customWidth="1"/>
    <col min="9" max="9" width="9.5" bestFit="1" customWidth="1"/>
    <col min="10" max="10" width="14.75" bestFit="1" customWidth="1"/>
    <col min="11" max="12" width="9.5" bestFit="1" customWidth="1"/>
    <col min="13" max="15" width="11.83203125" bestFit="1" customWidth="1"/>
    <col min="16" max="18" width="11.25" bestFit="1" customWidth="1"/>
    <col min="19" max="21" width="13.25" bestFit="1" customWidth="1"/>
    <col min="22" max="22" width="11" bestFit="1" customWidth="1"/>
    <col min="23" max="23" width="13.1640625" bestFit="1" customWidth="1"/>
  </cols>
  <sheetData>
    <row r="1" spans="1:30" ht="17" x14ac:dyDescent="0.4">
      <c r="B1" s="55" t="s">
        <v>89</v>
      </c>
    </row>
    <row r="3" spans="1:30" x14ac:dyDescent="0.35">
      <c r="B3" s="48" t="s">
        <v>90</v>
      </c>
    </row>
    <row r="4" spans="1:30" x14ac:dyDescent="0.35">
      <c r="B4" s="6" t="s">
        <v>91</v>
      </c>
      <c r="C4" t="s">
        <v>58</v>
      </c>
      <c r="D4" s="7">
        <f>SLOPE(Data!E2:E33,Data!N2:N33)</f>
        <v>0.16358835465289767</v>
      </c>
      <c r="E4" t="s">
        <v>47</v>
      </c>
      <c r="F4" s="7">
        <f>INTERCEPT(Data!E2:E33,Data!N2:N33)</f>
        <v>56.273977572783409</v>
      </c>
      <c r="G4" t="s">
        <v>45</v>
      </c>
      <c r="H4" s="7">
        <f>RSQ(Data!E2:E33,Data!N2:N33)</f>
        <v>0.23178091295039088</v>
      </c>
    </row>
    <row r="5" spans="1:30" x14ac:dyDescent="0.35">
      <c r="B5" s="6" t="s">
        <v>92</v>
      </c>
      <c r="C5" t="s">
        <v>58</v>
      </c>
      <c r="D5" s="7">
        <f>SLOPE(Data!E2:E33,Data!M2:M33)</f>
        <v>0.24034288706116697</v>
      </c>
      <c r="E5" t="s">
        <v>47</v>
      </c>
      <c r="F5" s="7">
        <f>INTERCEPT(Data!E2:E33,Data!M2:M33)</f>
        <v>56.276502143044127</v>
      </c>
      <c r="G5" t="s">
        <v>45</v>
      </c>
      <c r="H5" s="7">
        <f>RSQ(Data!E2:E33,Data!M2:M33)</f>
        <v>0.49976787801177364</v>
      </c>
    </row>
    <row r="6" spans="1:30" x14ac:dyDescent="0.35">
      <c r="B6" s="6" t="s">
        <v>93</v>
      </c>
      <c r="C6" t="s">
        <v>94</v>
      </c>
    </row>
    <row r="7" spans="1:30" x14ac:dyDescent="0.35">
      <c r="B7" s="65" t="s">
        <v>128</v>
      </c>
      <c r="C7" s="66" t="s">
        <v>58</v>
      </c>
      <c r="D7" s="67">
        <f>SLOPE(Data!N2:N33,Data!H2:H33)</f>
        <v>16.713158791634399</v>
      </c>
      <c r="E7" s="66" t="s">
        <v>47</v>
      </c>
      <c r="F7" s="67">
        <f>INTERCEPT(Data!N2:N33,Data!H2:H33)</f>
        <v>-1671.3618577846635</v>
      </c>
      <c r="G7" s="66" t="s">
        <v>45</v>
      </c>
      <c r="H7" s="67">
        <f>RSQ(Data!N2:N33,Data!H2:H33)</f>
        <v>0.84126186878044984</v>
      </c>
    </row>
    <row r="8" spans="1:30" x14ac:dyDescent="0.35">
      <c r="A8" t="s">
        <v>44</v>
      </c>
      <c r="B8" s="48" t="s">
        <v>7</v>
      </c>
      <c r="C8" s="48" t="s">
        <v>2</v>
      </c>
      <c r="D8" s="48" t="s">
        <v>43</v>
      </c>
      <c r="E8" s="48" t="s">
        <v>42</v>
      </c>
      <c r="F8" s="48" t="s">
        <v>55</v>
      </c>
      <c r="G8" s="48" t="s">
        <v>85</v>
      </c>
      <c r="H8" s="73" t="s">
        <v>5</v>
      </c>
      <c r="I8" s="56" t="s">
        <v>95</v>
      </c>
      <c r="J8" s="56" t="s">
        <v>96</v>
      </c>
      <c r="K8" s="56" t="s">
        <v>97</v>
      </c>
      <c r="L8" s="56" t="s">
        <v>98</v>
      </c>
      <c r="M8" s="56" t="s">
        <v>99</v>
      </c>
      <c r="N8" s="68" t="s">
        <v>129</v>
      </c>
      <c r="O8" s="68" t="s">
        <v>130</v>
      </c>
      <c r="P8" s="12" t="s">
        <v>100</v>
      </c>
      <c r="Q8" s="12" t="s">
        <v>101</v>
      </c>
      <c r="R8" s="12" t="s">
        <v>102</v>
      </c>
      <c r="S8" s="69" t="s">
        <v>131</v>
      </c>
      <c r="T8" s="57" t="s">
        <v>103</v>
      </c>
      <c r="U8" s="57" t="s">
        <v>104</v>
      </c>
      <c r="V8" s="57" t="s">
        <v>105</v>
      </c>
      <c r="W8" s="70" t="s">
        <v>132</v>
      </c>
      <c r="X8" s="58" t="s">
        <v>106</v>
      </c>
      <c r="Y8" s="58" t="s">
        <v>107</v>
      </c>
      <c r="Z8" s="58" t="s">
        <v>108</v>
      </c>
      <c r="AA8" s="71" t="s">
        <v>133</v>
      </c>
      <c r="AB8" s="59" t="s">
        <v>109</v>
      </c>
      <c r="AC8" s="60" t="s">
        <v>110</v>
      </c>
      <c r="AD8" s="58" t="s">
        <v>125</v>
      </c>
    </row>
    <row r="9" spans="1:30" x14ac:dyDescent="0.35">
      <c r="A9">
        <v>1</v>
      </c>
      <c r="B9" t="str">
        <f>Data!B2</f>
        <v>Colorado Avalanche*</v>
      </c>
      <c r="C9" s="4">
        <f>Data!E2</f>
        <v>72.8</v>
      </c>
      <c r="D9" s="4">
        <f>Data!N2</f>
        <v>34.5</v>
      </c>
      <c r="E9" s="4">
        <f>Data!M2</f>
        <v>50.5</v>
      </c>
      <c r="F9" s="4">
        <f>Data!Q2</f>
        <v>73.713926188386836</v>
      </c>
      <c r="G9" s="4">
        <f>Data!S2</f>
        <v>63.946969540153766</v>
      </c>
      <c r="H9" s="72">
        <f>Data!H2</f>
        <v>101.7</v>
      </c>
      <c r="I9" s="4">
        <f t="shared" ref="I9:I40" si="0">$F$4+$D$4*D9</f>
        <v>61.917775808308377</v>
      </c>
      <c r="J9" s="4">
        <f t="shared" ref="J9:J40" si="1">C9-I9</f>
        <v>10.88222419169162</v>
      </c>
      <c r="K9" s="4">
        <f t="shared" ref="K9:K40" si="2">INTERCEPT($C$9:$C$40,$E$9:$E$40)+SLOPE($C$9:$C$40,$E$9:$E$40)*E9</f>
        <v>68.413817939633063</v>
      </c>
      <c r="L9" s="4">
        <f t="shared" ref="L9:L40" si="3">C9-K9</f>
        <v>4.3861820603669344</v>
      </c>
      <c r="M9" s="4">
        <f t="shared" ref="M9:M40" si="4">F9-G9</f>
        <v>9.7669566482330694</v>
      </c>
      <c r="N9" s="72">
        <f t="shared" ref="N9:N40" si="5">$D$7*H9+$F$7</f>
        <v>28.366391324555025</v>
      </c>
      <c r="O9" s="72">
        <f t="shared" ref="O9:O40" si="6">D9-N9</f>
        <v>6.1336086754449752</v>
      </c>
      <c r="P9">
        <f>RANK(J9,$J$9:$J$40,0)+COUNTIF($J8:J$9,J9)</f>
        <v>3</v>
      </c>
      <c r="Q9">
        <f>RANK(L9,$L$9:$L$40,0)+COUNTIF($L8:L$9,L9)</f>
        <v>7</v>
      </c>
      <c r="R9">
        <f>RANK(M9,$M$9:$M$40,0)+COUNTIF($M8:M$9,M9)</f>
        <v>4</v>
      </c>
      <c r="S9" s="72">
        <f>RANK(O9,$O$9:$O$40,0)+COUNTIF($O8:O$9,O9)</f>
        <v>8</v>
      </c>
      <c r="T9">
        <f t="shared" ref="T9:T40" si="7">IF(P9&lt;=10,11-P9,0)</f>
        <v>8</v>
      </c>
      <c r="U9">
        <f t="shared" ref="U9:U40" si="8">IF(Q9&lt;=10,11-Q9,0)</f>
        <v>4</v>
      </c>
      <c r="V9">
        <f t="shared" ref="V9:V40" si="9">IF(R9&lt;=10,11-R9,0)</f>
        <v>7</v>
      </c>
      <c r="W9" s="66">
        <f t="shared" ref="W9:W40" si="10">IF(S9&lt;=10,11-S9,0)</f>
        <v>3</v>
      </c>
      <c r="X9">
        <f t="shared" ref="X9:X40" si="11">IF(P9&gt;=23,P9-22,0)</f>
        <v>0</v>
      </c>
      <c r="Y9">
        <f t="shared" ref="Y9:Y40" si="12">IF(Q9&gt;=23,Q9-22,0)</f>
        <v>0</v>
      </c>
      <c r="Z9">
        <f t="shared" ref="Z9:Z40" si="13">IF(R9&gt;=23,R9-22,0)</f>
        <v>0</v>
      </c>
      <c r="AA9" s="66">
        <f t="shared" ref="AA9:AA40" si="14">IF(S9&gt;=23,S9-22,0)</f>
        <v>0</v>
      </c>
      <c r="AB9">
        <f t="shared" ref="AB9:AB40" si="15">T9+U9+V9+W9</f>
        <v>22</v>
      </c>
      <c r="AC9">
        <f t="shared" ref="AC9:AC40" si="16">X9+Y9+Z9+AA9</f>
        <v>0</v>
      </c>
      <c r="AD9">
        <f>AB9-AC9</f>
        <v>22</v>
      </c>
    </row>
    <row r="10" spans="1:30" x14ac:dyDescent="0.35">
      <c r="A10">
        <v>2</v>
      </c>
      <c r="B10" t="str">
        <f>Data!B3</f>
        <v>Carolina Hurricanes</v>
      </c>
      <c r="C10" s="4">
        <f>Data!E3</f>
        <v>68.8</v>
      </c>
      <c r="D10" s="4">
        <f>Data!N3</f>
        <v>-15.099999999999994</v>
      </c>
      <c r="E10" s="4">
        <f>Data!M3</f>
        <v>37.099999999999994</v>
      </c>
      <c r="F10" s="4">
        <f>Data!Q3</f>
        <v>56.443609799800143</v>
      </c>
      <c r="G10" s="4">
        <f>Data!S3</f>
        <v>60.317891709780135</v>
      </c>
      <c r="H10" s="72">
        <f>Data!H3</f>
        <v>98.4</v>
      </c>
      <c r="I10" s="4">
        <f t="shared" si="0"/>
        <v>53.803793417524652</v>
      </c>
      <c r="J10" s="4">
        <f t="shared" si="1"/>
        <v>14.996206582475345</v>
      </c>
      <c r="K10" s="4">
        <f t="shared" si="2"/>
        <v>65.193223253013414</v>
      </c>
      <c r="L10" s="4">
        <f t="shared" si="3"/>
        <v>3.6067767469865828</v>
      </c>
      <c r="M10" s="4">
        <f t="shared" si="4"/>
        <v>-3.8742819099799917</v>
      </c>
      <c r="N10" s="72">
        <f t="shared" si="5"/>
        <v>-26.787032687838519</v>
      </c>
      <c r="O10" s="72">
        <f t="shared" si="6"/>
        <v>11.687032687838524</v>
      </c>
      <c r="P10">
        <f>RANK(J10,$J$9:$J$40,0)+COUNTIF($J$9:J9,J10)</f>
        <v>1</v>
      </c>
      <c r="Q10">
        <f>RANK(L10,$L$9:$L$40,0)+COUNTIF($L$9:L9,L10)</f>
        <v>8</v>
      </c>
      <c r="R10">
        <f>RANK(M10,$M$9:$M$40,0)+COUNTIF($M$9:M9,M10)</f>
        <v>21</v>
      </c>
      <c r="S10" s="72">
        <f>RANK(O10,$O$9:$O$40,0)+COUNTIF($O9:O$9,O10)</f>
        <v>5</v>
      </c>
      <c r="T10">
        <f t="shared" si="7"/>
        <v>10</v>
      </c>
      <c r="U10">
        <f t="shared" si="8"/>
        <v>3</v>
      </c>
      <c r="V10">
        <f t="shared" si="9"/>
        <v>0</v>
      </c>
      <c r="W10" s="66">
        <f t="shared" si="10"/>
        <v>6</v>
      </c>
      <c r="X10">
        <f t="shared" si="11"/>
        <v>0</v>
      </c>
      <c r="Y10">
        <f t="shared" si="12"/>
        <v>0</v>
      </c>
      <c r="Z10">
        <f t="shared" si="13"/>
        <v>0</v>
      </c>
      <c r="AA10" s="66">
        <f t="shared" si="14"/>
        <v>0</v>
      </c>
      <c r="AB10">
        <f t="shared" si="15"/>
        <v>19</v>
      </c>
      <c r="AC10">
        <f t="shared" si="16"/>
        <v>0</v>
      </c>
      <c r="AD10">
        <f t="shared" ref="AD10:AD40" si="17">AB10-AC10</f>
        <v>19</v>
      </c>
    </row>
    <row r="11" spans="1:30" x14ac:dyDescent="0.35">
      <c r="A11">
        <v>3</v>
      </c>
      <c r="B11" t="str">
        <f>Data!B4</f>
        <v>Dallas Stars*</v>
      </c>
      <c r="C11" s="4">
        <f>Data!E4</f>
        <v>67.5</v>
      </c>
      <c r="D11" s="4">
        <f>Data!N4</f>
        <v>19.599999999999994</v>
      </c>
      <c r="E11" s="4">
        <f>Data!M4</f>
        <v>11.400000000000006</v>
      </c>
      <c r="F11" s="4">
        <f>Data!Q4</f>
        <v>60.393698997567789</v>
      </c>
      <c r="G11" s="4">
        <f>Data!S4</f>
        <v>53.60974195418963</v>
      </c>
      <c r="H11" s="72">
        <f>Data!H4</f>
        <v>102.1</v>
      </c>
      <c r="I11" s="4">
        <f t="shared" si="0"/>
        <v>59.480309323980201</v>
      </c>
      <c r="J11" s="4">
        <f t="shared" si="1"/>
        <v>8.019690676019799</v>
      </c>
      <c r="K11" s="4">
        <f t="shared" si="2"/>
        <v>59.016411055541433</v>
      </c>
      <c r="L11" s="4">
        <f t="shared" si="3"/>
        <v>8.4835889444585675</v>
      </c>
      <c r="M11" s="4">
        <f t="shared" si="4"/>
        <v>6.7839570433781589</v>
      </c>
      <c r="N11" s="72">
        <f t="shared" si="5"/>
        <v>35.051654841208574</v>
      </c>
      <c r="O11" s="72">
        <f t="shared" si="6"/>
        <v>-15.45165484120858</v>
      </c>
      <c r="P11">
        <f>RANK(J11,$J$9:$J$40,0)+COUNTIF($J$9:J10,J11)</f>
        <v>3</v>
      </c>
      <c r="Q11">
        <f>RANK(L11,$L$9:$L$40,0)+COUNTIF($L$9:L10,L11)</f>
        <v>5</v>
      </c>
      <c r="R11">
        <f>RANK(M11,$M$9:$M$40,0)+COUNTIF($M$9:M10,M11)</f>
        <v>7</v>
      </c>
      <c r="S11" s="72">
        <f>RANK(O11,$O$9:$O$40,0)+COUNTIF($O$9:O10,O11)</f>
        <v>32</v>
      </c>
      <c r="T11">
        <f t="shared" si="7"/>
        <v>8</v>
      </c>
      <c r="U11">
        <f t="shared" si="8"/>
        <v>6</v>
      </c>
      <c r="V11">
        <f t="shared" si="9"/>
        <v>4</v>
      </c>
      <c r="W11" s="66">
        <f t="shared" si="10"/>
        <v>0</v>
      </c>
      <c r="X11">
        <f t="shared" si="11"/>
        <v>0</v>
      </c>
      <c r="Y11">
        <f t="shared" si="12"/>
        <v>0</v>
      </c>
      <c r="Z11">
        <f t="shared" si="13"/>
        <v>0</v>
      </c>
      <c r="AA11" s="66">
        <f t="shared" si="14"/>
        <v>10</v>
      </c>
      <c r="AB11">
        <f t="shared" si="15"/>
        <v>18</v>
      </c>
      <c r="AC11">
        <f t="shared" si="16"/>
        <v>10</v>
      </c>
      <c r="AD11">
        <f t="shared" si="17"/>
        <v>8</v>
      </c>
    </row>
    <row r="12" spans="1:30" x14ac:dyDescent="0.35">
      <c r="A12">
        <v>4</v>
      </c>
      <c r="B12" t="str">
        <f>Data!B5</f>
        <v>Buffalo Sabres</v>
      </c>
      <c r="C12" s="4">
        <f>Data!E5</f>
        <v>66.3</v>
      </c>
      <c r="D12" s="4">
        <f>Data!N5</f>
        <v>39.699999999999989</v>
      </c>
      <c r="E12" s="4">
        <f>Data!M5</f>
        <v>-7.6999999999999886</v>
      </c>
      <c r="F12" s="4">
        <f>Data!Q5</f>
        <v>59.329126080395113</v>
      </c>
      <c r="G12" s="4">
        <f>Data!S5</f>
        <v>47.811682994190491</v>
      </c>
      <c r="H12" s="72">
        <f>Data!H5</f>
        <v>101.5</v>
      </c>
      <c r="I12" s="4">
        <f t="shared" si="0"/>
        <v>62.768435252503444</v>
      </c>
      <c r="J12" s="4">
        <f t="shared" si="1"/>
        <v>3.531564747496553</v>
      </c>
      <c r="K12" s="4">
        <f t="shared" si="2"/>
        <v>54.425861912673142</v>
      </c>
      <c r="L12" s="4">
        <f t="shared" si="3"/>
        <v>11.874138087326855</v>
      </c>
      <c r="M12" s="4">
        <f t="shared" si="4"/>
        <v>11.517443086204622</v>
      </c>
      <c r="N12" s="72">
        <f t="shared" si="5"/>
        <v>25.023759566227909</v>
      </c>
      <c r="O12" s="72">
        <f t="shared" si="6"/>
        <v>14.67624043377208</v>
      </c>
      <c r="P12">
        <f>RANK(J12,$J$9:$J$40,0)+COUNTIF($J$9:J11,J12)</f>
        <v>13</v>
      </c>
      <c r="Q12">
        <f>RANK(L12,$L$9:$L$40,0)+COUNTIF($L$9:L11,L12)</f>
        <v>1</v>
      </c>
      <c r="R12">
        <f>RANK(M12,$M$9:$M$40,0)+COUNTIF($M$9:M11,M12)</f>
        <v>2</v>
      </c>
      <c r="S12" s="72">
        <f>RANK(O12,$O$9:$O$40,0)+COUNTIF($O$9:O11,O12)</f>
        <v>3</v>
      </c>
      <c r="T12">
        <f t="shared" si="7"/>
        <v>0</v>
      </c>
      <c r="U12">
        <f t="shared" si="8"/>
        <v>10</v>
      </c>
      <c r="V12">
        <f t="shared" si="9"/>
        <v>9</v>
      </c>
      <c r="W12" s="66">
        <f t="shared" si="10"/>
        <v>8</v>
      </c>
      <c r="X12">
        <f t="shared" si="11"/>
        <v>0</v>
      </c>
      <c r="Y12">
        <f t="shared" si="12"/>
        <v>0</v>
      </c>
      <c r="Z12">
        <f t="shared" si="13"/>
        <v>0</v>
      </c>
      <c r="AA12" s="66">
        <f t="shared" si="14"/>
        <v>0</v>
      </c>
      <c r="AB12">
        <f t="shared" si="15"/>
        <v>27</v>
      </c>
      <c r="AC12">
        <f t="shared" si="16"/>
        <v>0</v>
      </c>
      <c r="AD12">
        <f t="shared" si="17"/>
        <v>27</v>
      </c>
    </row>
    <row r="13" spans="1:30" x14ac:dyDescent="0.35">
      <c r="A13">
        <v>5</v>
      </c>
      <c r="B13" t="str">
        <f>Data!B6</f>
        <v>Montreal Canadiens</v>
      </c>
      <c r="C13" s="4">
        <f>Data!E6</f>
        <v>65.400000000000006</v>
      </c>
      <c r="D13" s="4">
        <f>Data!N6</f>
        <v>25.700000000000017</v>
      </c>
      <c r="E13" s="4">
        <f>Data!M6</f>
        <v>-1.7000000000000171</v>
      </c>
      <c r="F13" s="4">
        <f>Data!Q6</f>
        <v>57.023825919294865</v>
      </c>
      <c r="G13" s="4">
        <f>Data!S6</f>
        <v>49.492701805691972</v>
      </c>
      <c r="H13" s="72">
        <f>Data!H6</f>
        <v>101.6</v>
      </c>
      <c r="I13" s="4">
        <f t="shared" si="0"/>
        <v>60.478198287362879</v>
      </c>
      <c r="J13" s="4">
        <f t="shared" si="1"/>
        <v>4.9218017126371265</v>
      </c>
      <c r="K13" s="4">
        <f t="shared" si="2"/>
        <v>55.867919235040141</v>
      </c>
      <c r="L13" s="4">
        <f t="shared" si="3"/>
        <v>9.5320807649598649</v>
      </c>
      <c r="M13" s="4">
        <f t="shared" si="4"/>
        <v>7.5311241136028926</v>
      </c>
      <c r="N13" s="72">
        <f t="shared" si="5"/>
        <v>26.695075445391467</v>
      </c>
      <c r="O13" s="72">
        <f t="shared" si="6"/>
        <v>-0.99507544539144988</v>
      </c>
      <c r="P13">
        <f>RANK(J13,$J$9:$J$40,0)+COUNTIF($J$9:J12,J13)</f>
        <v>8</v>
      </c>
      <c r="Q13">
        <f>RANK(L13,$L$9:$L$40,0)+COUNTIF($L$9:L12,L13)</f>
        <v>3</v>
      </c>
      <c r="R13">
        <f>RANK(M13,$M$9:$M$40,0)+COUNTIF($M$9:M12,M13)</f>
        <v>5</v>
      </c>
      <c r="S13" s="72">
        <f>RANK(O13,$O$9:$O$40,0)+COUNTIF($O$9:O12,O13)</f>
        <v>16</v>
      </c>
      <c r="T13">
        <f t="shared" si="7"/>
        <v>3</v>
      </c>
      <c r="U13">
        <f t="shared" si="8"/>
        <v>8</v>
      </c>
      <c r="V13">
        <f t="shared" si="9"/>
        <v>6</v>
      </c>
      <c r="W13" s="66">
        <f t="shared" si="10"/>
        <v>0</v>
      </c>
      <c r="X13">
        <f t="shared" si="11"/>
        <v>0</v>
      </c>
      <c r="Y13">
        <f t="shared" si="12"/>
        <v>0</v>
      </c>
      <c r="Z13">
        <f t="shared" si="13"/>
        <v>0</v>
      </c>
      <c r="AA13" s="66">
        <f t="shared" si="14"/>
        <v>0</v>
      </c>
      <c r="AB13">
        <f t="shared" si="15"/>
        <v>17</v>
      </c>
      <c r="AC13">
        <f t="shared" si="16"/>
        <v>0</v>
      </c>
      <c r="AD13">
        <f t="shared" si="17"/>
        <v>17</v>
      </c>
    </row>
    <row r="14" spans="1:30" x14ac:dyDescent="0.35">
      <c r="A14">
        <v>6</v>
      </c>
      <c r="B14" t="str">
        <f>Data!B7</f>
        <v>Tampa Bay Lightning</v>
      </c>
      <c r="C14" s="4">
        <f>Data!E7</f>
        <v>65</v>
      </c>
      <c r="D14" s="4">
        <f>Data!N7</f>
        <v>25</v>
      </c>
      <c r="E14" s="4">
        <f>Data!M7</f>
        <v>19</v>
      </c>
      <c r="F14" s="4">
        <f>Data!Q7</f>
        <v>62.874460080813712</v>
      </c>
      <c r="G14" s="4">
        <f>Data!S7</f>
        <v>55.577359192512077</v>
      </c>
      <c r="H14" s="72">
        <f>Data!H7</f>
        <v>101.7</v>
      </c>
      <c r="I14" s="4">
        <f t="shared" si="0"/>
        <v>60.363686439105848</v>
      </c>
      <c r="J14" s="4">
        <f t="shared" si="1"/>
        <v>4.6363135608941519</v>
      </c>
      <c r="K14" s="4">
        <f t="shared" si="2"/>
        <v>60.843016997206298</v>
      </c>
      <c r="L14" s="4">
        <f t="shared" si="3"/>
        <v>4.1569830027937016</v>
      </c>
      <c r="M14" s="4">
        <f t="shared" si="4"/>
        <v>7.2971008883016353</v>
      </c>
      <c r="N14" s="72">
        <f t="shared" si="5"/>
        <v>28.366391324555025</v>
      </c>
      <c r="O14" s="72">
        <f t="shared" si="6"/>
        <v>-3.3663913245550248</v>
      </c>
      <c r="P14">
        <f>RANK(J14,$J$9:$J$40,0)+COUNTIF($J$9:J13,J14)</f>
        <v>9</v>
      </c>
      <c r="Q14">
        <f>RANK(L14,$L$9:$L$40,0)+COUNTIF($L$9:L13,L14)</f>
        <v>7</v>
      </c>
      <c r="R14">
        <f>RANK(M14,$M$9:$M$40,0)+COUNTIF($M$9:M13,M14)</f>
        <v>6</v>
      </c>
      <c r="S14" s="72">
        <f>RANK(O14,$O$9:$O$40,0)+COUNTIF($O$9:O13,O14)</f>
        <v>20</v>
      </c>
      <c r="T14">
        <f t="shared" si="7"/>
        <v>2</v>
      </c>
      <c r="U14">
        <f t="shared" si="8"/>
        <v>4</v>
      </c>
      <c r="V14">
        <f t="shared" si="9"/>
        <v>5</v>
      </c>
      <c r="W14" s="66">
        <f t="shared" si="10"/>
        <v>0</v>
      </c>
      <c r="X14">
        <f t="shared" si="11"/>
        <v>0</v>
      </c>
      <c r="Y14">
        <f t="shared" si="12"/>
        <v>0</v>
      </c>
      <c r="Z14">
        <f t="shared" si="13"/>
        <v>0</v>
      </c>
      <c r="AA14" s="66">
        <f t="shared" si="14"/>
        <v>0</v>
      </c>
      <c r="AB14">
        <f t="shared" si="15"/>
        <v>11</v>
      </c>
      <c r="AC14">
        <f t="shared" si="16"/>
        <v>0</v>
      </c>
      <c r="AD14">
        <f t="shared" si="17"/>
        <v>11</v>
      </c>
    </row>
    <row r="15" spans="1:30" x14ac:dyDescent="0.35">
      <c r="A15">
        <v>7</v>
      </c>
      <c r="B15" t="str">
        <f>Data!B8</f>
        <v>Minnesota Wild*</v>
      </c>
      <c r="C15" s="4">
        <f>Data!E8</f>
        <v>63.800000000000004</v>
      </c>
      <c r="D15" s="4">
        <f>Data!N8</f>
        <v>15.599999999999994</v>
      </c>
      <c r="E15" s="4">
        <f>Data!M8</f>
        <v>-4.5999999999999943</v>
      </c>
      <c r="F15" s="4">
        <f>Data!Q8</f>
        <v>53.465858264586032</v>
      </c>
      <c r="G15" s="4">
        <f>Data!S8</f>
        <v>48.677632122724944</v>
      </c>
      <c r="H15" s="72">
        <f>Data!H8</f>
        <v>100.7</v>
      </c>
      <c r="I15" s="4">
        <f t="shared" si="0"/>
        <v>58.825955905368609</v>
      </c>
      <c r="J15" s="4">
        <f t="shared" si="1"/>
        <v>4.9740440946313953</v>
      </c>
      <c r="K15" s="4">
        <f t="shared" si="2"/>
        <v>55.170924862562757</v>
      </c>
      <c r="L15" s="4">
        <f t="shared" si="3"/>
        <v>8.6290751374372476</v>
      </c>
      <c r="M15" s="4">
        <f t="shared" si="4"/>
        <v>4.7882261418610881</v>
      </c>
      <c r="N15" s="72">
        <f t="shared" si="5"/>
        <v>11.653232532920583</v>
      </c>
      <c r="O15" s="72">
        <f t="shared" si="6"/>
        <v>3.9467674670794111</v>
      </c>
      <c r="P15">
        <f>RANK(J15,$J$9:$J$40,0)+COUNTIF($J$9:J14,J15)</f>
        <v>7</v>
      </c>
      <c r="Q15">
        <f>RANK(L15,$L$9:$L$40,0)+COUNTIF($L$9:L14,L15)</f>
        <v>4</v>
      </c>
      <c r="R15">
        <f>RANK(M15,$M$9:$M$40,0)+COUNTIF($M$9:M14,M15)</f>
        <v>9</v>
      </c>
      <c r="S15" s="72">
        <f>RANK(O15,$O$9:$O$40,0)+COUNTIF($O$9:O14,O15)</f>
        <v>9</v>
      </c>
      <c r="T15">
        <f t="shared" si="7"/>
        <v>4</v>
      </c>
      <c r="U15">
        <f t="shared" si="8"/>
        <v>7</v>
      </c>
      <c r="V15">
        <f t="shared" si="9"/>
        <v>2</v>
      </c>
      <c r="W15" s="66">
        <f t="shared" si="10"/>
        <v>2</v>
      </c>
      <c r="X15">
        <f t="shared" si="11"/>
        <v>0</v>
      </c>
      <c r="Y15">
        <f t="shared" si="12"/>
        <v>0</v>
      </c>
      <c r="Z15">
        <f t="shared" si="13"/>
        <v>0</v>
      </c>
      <c r="AA15" s="66">
        <f t="shared" si="14"/>
        <v>0</v>
      </c>
      <c r="AB15">
        <f t="shared" si="15"/>
        <v>15</v>
      </c>
      <c r="AC15">
        <f t="shared" si="16"/>
        <v>0</v>
      </c>
      <c r="AD15">
        <f t="shared" si="17"/>
        <v>15</v>
      </c>
    </row>
    <row r="16" spans="1:30" x14ac:dyDescent="0.35">
      <c r="A16">
        <v>8</v>
      </c>
      <c r="B16" t="str">
        <f>Data!B9</f>
        <v>Boston Bruins</v>
      </c>
      <c r="C16" s="4">
        <f>Data!E9</f>
        <v>60.5</v>
      </c>
      <c r="D16" s="4">
        <f>Data!N9</f>
        <v>52.5</v>
      </c>
      <c r="E16" s="4">
        <f>Data!M9</f>
        <v>-24.5</v>
      </c>
      <c r="F16" s="4">
        <f>Data!Q9</f>
        <v>58.474826517053003</v>
      </c>
      <c r="G16" s="4">
        <f>Data!S9</f>
        <v>42.688769919797032</v>
      </c>
      <c r="H16" s="72">
        <f>Data!H9</f>
        <v>101.7</v>
      </c>
      <c r="I16" s="4">
        <f t="shared" si="0"/>
        <v>64.862366192060534</v>
      </c>
      <c r="J16" s="4">
        <f t="shared" si="1"/>
        <v>-4.3623661920605343</v>
      </c>
      <c r="K16" s="4">
        <f t="shared" si="2"/>
        <v>50.388101410045536</v>
      </c>
      <c r="L16" s="4">
        <f t="shared" si="3"/>
        <v>10.111898589954464</v>
      </c>
      <c r="M16" s="4">
        <f t="shared" si="4"/>
        <v>15.786056597255971</v>
      </c>
      <c r="N16" s="72">
        <f t="shared" si="5"/>
        <v>28.366391324555025</v>
      </c>
      <c r="O16" s="72">
        <f t="shared" si="6"/>
        <v>24.133608675444975</v>
      </c>
      <c r="P16">
        <f>RANK(J16,$J$9:$J$40,0)+COUNTIF($J$9:J15,J16)</f>
        <v>26</v>
      </c>
      <c r="Q16">
        <f>RANK(L16,$L$9:$L$40,0)+COUNTIF($L$9:L15,L16)</f>
        <v>2</v>
      </c>
      <c r="R16">
        <f>RANK(M16,$M$9:$M$40,0)+COUNTIF($M$9:M15,M16)</f>
        <v>1</v>
      </c>
      <c r="S16" s="72">
        <f>RANK(O16,$O$9:$O$40,0)+COUNTIF($O$9:O15,O16)</f>
        <v>1</v>
      </c>
      <c r="T16">
        <f t="shared" si="7"/>
        <v>0</v>
      </c>
      <c r="U16">
        <f t="shared" si="8"/>
        <v>9</v>
      </c>
      <c r="V16">
        <f t="shared" si="9"/>
        <v>10</v>
      </c>
      <c r="W16" s="66">
        <f t="shared" si="10"/>
        <v>10</v>
      </c>
      <c r="X16">
        <f t="shared" si="11"/>
        <v>4</v>
      </c>
      <c r="Y16">
        <f t="shared" si="12"/>
        <v>0</v>
      </c>
      <c r="Z16">
        <f t="shared" si="13"/>
        <v>0</v>
      </c>
      <c r="AA16" s="66">
        <f t="shared" si="14"/>
        <v>0</v>
      </c>
      <c r="AB16">
        <f t="shared" si="15"/>
        <v>29</v>
      </c>
      <c r="AC16">
        <f t="shared" si="16"/>
        <v>4</v>
      </c>
      <c r="AD16">
        <f t="shared" si="17"/>
        <v>25</v>
      </c>
    </row>
    <row r="17" spans="1:30" x14ac:dyDescent="0.35">
      <c r="A17">
        <v>9</v>
      </c>
      <c r="B17" t="str">
        <f>Data!B10</f>
        <v>Pittsburgh Penguins</v>
      </c>
      <c r="C17" s="4">
        <f>Data!E10</f>
        <v>60.5</v>
      </c>
      <c r="D17" s="4">
        <f>Data!N10</f>
        <v>9.4000000000000057</v>
      </c>
      <c r="E17" s="4">
        <f>Data!M10</f>
        <v>18.599999999999994</v>
      </c>
      <c r="F17" s="4">
        <f>Data!Q10</f>
        <v>57.647058823529406</v>
      </c>
      <c r="G17" s="4">
        <f>Data!S10</f>
        <v>54.990200691002819</v>
      </c>
      <c r="H17" s="72">
        <f>Data!H10</f>
        <v>101</v>
      </c>
      <c r="I17" s="4">
        <f t="shared" si="0"/>
        <v>57.811708106520648</v>
      </c>
      <c r="J17" s="4">
        <f t="shared" si="1"/>
        <v>2.6882918934793523</v>
      </c>
      <c r="K17" s="4">
        <f t="shared" si="2"/>
        <v>60.74687984238183</v>
      </c>
      <c r="L17" s="4">
        <f t="shared" si="3"/>
        <v>-0.24687984238182992</v>
      </c>
      <c r="M17" s="4">
        <f t="shared" si="4"/>
        <v>2.6568581325265868</v>
      </c>
      <c r="N17" s="72">
        <f t="shared" si="5"/>
        <v>16.667180170410802</v>
      </c>
      <c r="O17" s="72">
        <f t="shared" si="6"/>
        <v>-7.2671801704107963</v>
      </c>
      <c r="P17">
        <f>RANK(J17,$J$9:$J$40,0)+COUNTIF($J$9:J16,J17)</f>
        <v>15</v>
      </c>
      <c r="Q17">
        <f>RANK(L17,$L$9:$L$40,0)+COUNTIF($L$9:L16,L17)</f>
        <v>16</v>
      </c>
      <c r="R17">
        <f>RANK(M17,$M$9:$M$40,0)+COUNTIF($M$9:M16,M17)</f>
        <v>12</v>
      </c>
      <c r="S17" s="72">
        <f>RANK(O17,$O$9:$O$40,0)+COUNTIF($O$9:O16,O17)</f>
        <v>25</v>
      </c>
      <c r="T17">
        <f t="shared" si="7"/>
        <v>0</v>
      </c>
      <c r="U17">
        <f t="shared" si="8"/>
        <v>0</v>
      </c>
      <c r="V17">
        <f t="shared" si="9"/>
        <v>0</v>
      </c>
      <c r="W17" s="66">
        <f t="shared" si="10"/>
        <v>0</v>
      </c>
      <c r="X17">
        <f t="shared" si="11"/>
        <v>0</v>
      </c>
      <c r="Y17">
        <f t="shared" si="12"/>
        <v>0</v>
      </c>
      <c r="Z17">
        <f t="shared" si="13"/>
        <v>0</v>
      </c>
      <c r="AA17" s="66">
        <f t="shared" si="14"/>
        <v>3</v>
      </c>
      <c r="AB17">
        <f t="shared" si="15"/>
        <v>0</v>
      </c>
      <c r="AC17">
        <f t="shared" si="16"/>
        <v>3</v>
      </c>
      <c r="AD17">
        <f t="shared" si="17"/>
        <v>-3</v>
      </c>
    </row>
    <row r="18" spans="1:30" x14ac:dyDescent="0.35">
      <c r="A18">
        <v>10</v>
      </c>
      <c r="B18" t="str">
        <f>Data!B11</f>
        <v>Ottawa Senators</v>
      </c>
      <c r="C18" s="4">
        <f>Data!E11</f>
        <v>59.9</v>
      </c>
      <c r="D18" s="4">
        <f>Data!N11</f>
        <v>-18.799999999999983</v>
      </c>
      <c r="E18" s="4">
        <f>Data!M11</f>
        <v>35.799999999999983</v>
      </c>
      <c r="F18" s="4">
        <f>Data!Q11</f>
        <v>54.972977610019733</v>
      </c>
      <c r="G18" s="4">
        <f>Data!S11</f>
        <v>60.902973234319404</v>
      </c>
      <c r="H18" s="72">
        <f>Data!H11</f>
        <v>99.5</v>
      </c>
      <c r="I18" s="4">
        <f t="shared" si="0"/>
        <v>53.198516505308937</v>
      </c>
      <c r="J18" s="4">
        <f t="shared" si="1"/>
        <v>6.7014834946910611</v>
      </c>
      <c r="K18" s="4">
        <f t="shared" si="2"/>
        <v>64.880777499833897</v>
      </c>
      <c r="L18" s="4">
        <f t="shared" si="3"/>
        <v>-4.9807774998338985</v>
      </c>
      <c r="M18" s="4">
        <f t="shared" si="4"/>
        <v>-5.9299956242996714</v>
      </c>
      <c r="N18" s="72">
        <f t="shared" si="5"/>
        <v>-8.4025580170407466</v>
      </c>
      <c r="O18" s="72">
        <f t="shared" si="6"/>
        <v>-10.397441982959236</v>
      </c>
      <c r="P18">
        <f>RANK(J18,$J$9:$J$40,0)+COUNTIF($J$9:J17,J18)</f>
        <v>4</v>
      </c>
      <c r="Q18">
        <f>RANK(L18,$L$9:$L$40,0)+COUNTIF($L$9:L17,L18)</f>
        <v>26</v>
      </c>
      <c r="R18">
        <f>RANK(M18,$M$9:$M$40,0)+COUNTIF($M$9:M17,M18)</f>
        <v>25</v>
      </c>
      <c r="S18" s="72">
        <f>RANK(O18,$O$9:$O$40,0)+COUNTIF($O$9:O17,O18)</f>
        <v>29</v>
      </c>
      <c r="T18">
        <f t="shared" si="7"/>
        <v>7</v>
      </c>
      <c r="U18">
        <f t="shared" si="8"/>
        <v>0</v>
      </c>
      <c r="V18">
        <f t="shared" si="9"/>
        <v>0</v>
      </c>
      <c r="W18" s="66">
        <f t="shared" si="10"/>
        <v>0</v>
      </c>
      <c r="X18">
        <f t="shared" si="11"/>
        <v>0</v>
      </c>
      <c r="Y18">
        <f t="shared" si="12"/>
        <v>4</v>
      </c>
      <c r="Z18">
        <f t="shared" si="13"/>
        <v>3</v>
      </c>
      <c r="AA18" s="66">
        <f t="shared" si="14"/>
        <v>7</v>
      </c>
      <c r="AB18">
        <f t="shared" si="15"/>
        <v>7</v>
      </c>
      <c r="AC18">
        <f t="shared" si="16"/>
        <v>14</v>
      </c>
      <c r="AD18">
        <f t="shared" si="17"/>
        <v>-7</v>
      </c>
    </row>
    <row r="19" spans="1:30" x14ac:dyDescent="0.35">
      <c r="B19" t="str">
        <f>Data!B12</f>
        <v>Philadelphia Flyers</v>
      </c>
      <c r="C19" s="4">
        <f>Data!E12</f>
        <v>58.8</v>
      </c>
      <c r="D19" s="4">
        <f>Data!N12</f>
        <v>-3.5</v>
      </c>
      <c r="E19" s="4">
        <f>Data!M12</f>
        <v>15.5</v>
      </c>
      <c r="F19" s="4">
        <f>Data!Q12</f>
        <v>53.941227312013829</v>
      </c>
      <c r="G19" s="4">
        <f>Data!S12</f>
        <v>55.080476102971666</v>
      </c>
      <c r="H19" s="72">
        <f>Data!H12</f>
        <v>100.6</v>
      </c>
      <c r="I19" s="4">
        <f t="shared" si="0"/>
        <v>55.701418331498267</v>
      </c>
      <c r="J19" s="4">
        <f t="shared" si="1"/>
        <v>3.0985816685017298</v>
      </c>
      <c r="K19" s="4">
        <f t="shared" si="2"/>
        <v>60.001816892492215</v>
      </c>
      <c r="L19" s="4">
        <f t="shared" si="3"/>
        <v>-1.2018168924922179</v>
      </c>
      <c r="M19" s="4">
        <f t="shared" si="4"/>
        <v>-1.1392487909578364</v>
      </c>
      <c r="N19" s="72">
        <f t="shared" si="5"/>
        <v>9.9819166537570254</v>
      </c>
      <c r="O19" s="72">
        <f t="shared" si="6"/>
        <v>-13.481916653757025</v>
      </c>
      <c r="P19">
        <f>RANK(J19,$J$9:$J$40,0)+COUNTIF($J$9:J18,J19)</f>
        <v>14</v>
      </c>
      <c r="Q19">
        <f>RANK(L19,$L$9:$L$40,0)+COUNTIF($L$9:L18,L19)</f>
        <v>20</v>
      </c>
      <c r="R19">
        <f>RANK(M19,$M$9:$M$40,0)+COUNTIF($M$9:M18,M19)</f>
        <v>19</v>
      </c>
      <c r="S19" s="72">
        <f>RANK(O19,$O$9:$O$40,0)+COUNTIF($O$9:O18,O19)</f>
        <v>31</v>
      </c>
      <c r="T19">
        <f t="shared" si="7"/>
        <v>0</v>
      </c>
      <c r="U19">
        <f t="shared" si="8"/>
        <v>0</v>
      </c>
      <c r="V19">
        <f t="shared" si="9"/>
        <v>0</v>
      </c>
      <c r="W19" s="66">
        <f t="shared" si="10"/>
        <v>0</v>
      </c>
      <c r="X19">
        <f t="shared" si="11"/>
        <v>0</v>
      </c>
      <c r="Y19">
        <f t="shared" si="12"/>
        <v>0</v>
      </c>
      <c r="Z19">
        <f t="shared" si="13"/>
        <v>0</v>
      </c>
      <c r="AA19" s="66">
        <f t="shared" si="14"/>
        <v>9</v>
      </c>
      <c r="AB19">
        <f t="shared" si="15"/>
        <v>0</v>
      </c>
      <c r="AC19">
        <f t="shared" si="16"/>
        <v>9</v>
      </c>
      <c r="AD19">
        <f t="shared" si="17"/>
        <v>-9</v>
      </c>
    </row>
    <row r="20" spans="1:30" x14ac:dyDescent="0.35">
      <c r="B20" t="str">
        <f>Data!B13</f>
        <v>Washington Capitals</v>
      </c>
      <c r="C20" s="4">
        <f>Data!E13</f>
        <v>57.4</v>
      </c>
      <c r="D20" s="4">
        <f>Data!N13</f>
        <v>27.5</v>
      </c>
      <c r="E20" s="4">
        <f>Data!M13</f>
        <v>4.5</v>
      </c>
      <c r="F20" s="4">
        <f>Data!Q13</f>
        <v>59.781132075471696</v>
      </c>
      <c r="G20" s="4">
        <f>Data!S13</f>
        <v>51.311345390514141</v>
      </c>
      <c r="H20" s="72">
        <f>Data!H13</f>
        <v>101.5</v>
      </c>
      <c r="I20" s="4">
        <f t="shared" si="0"/>
        <v>60.772657325738095</v>
      </c>
      <c r="J20" s="4">
        <f t="shared" si="1"/>
        <v>-3.3726573257380963</v>
      </c>
      <c r="K20" s="4">
        <f t="shared" si="2"/>
        <v>57.358045134819378</v>
      </c>
      <c r="L20" s="4">
        <f t="shared" si="3"/>
        <v>4.195486518062097E-2</v>
      </c>
      <c r="M20" s="4">
        <f t="shared" si="4"/>
        <v>8.4697866849575547</v>
      </c>
      <c r="N20" s="72">
        <f t="shared" si="5"/>
        <v>25.023759566227909</v>
      </c>
      <c r="O20" s="72">
        <f t="shared" si="6"/>
        <v>2.4762404337720909</v>
      </c>
      <c r="P20">
        <f>RANK(J20,$J$9:$J$40,0)+COUNTIF($J$9:J19,J20)</f>
        <v>23</v>
      </c>
      <c r="Q20">
        <f>RANK(L20,$L$9:$L$40,0)+COUNTIF($L$9:L19,L20)</f>
        <v>14</v>
      </c>
      <c r="R20">
        <f>RANK(M20,$M$9:$M$40,0)+COUNTIF($M$9:M19,M20)</f>
        <v>4</v>
      </c>
      <c r="S20" s="72">
        <f>RANK(O20,$O$9:$O$40,0)+COUNTIF($O$9:O19,O20)</f>
        <v>10</v>
      </c>
      <c r="T20">
        <f t="shared" si="7"/>
        <v>0</v>
      </c>
      <c r="U20">
        <f t="shared" si="8"/>
        <v>0</v>
      </c>
      <c r="V20">
        <f t="shared" si="9"/>
        <v>7</v>
      </c>
      <c r="W20" s="66">
        <f t="shared" si="10"/>
        <v>1</v>
      </c>
      <c r="X20">
        <f t="shared" si="11"/>
        <v>1</v>
      </c>
      <c r="Y20">
        <f t="shared" si="12"/>
        <v>0</v>
      </c>
      <c r="Z20">
        <f t="shared" si="13"/>
        <v>0</v>
      </c>
      <c r="AA20" s="66">
        <f t="shared" si="14"/>
        <v>0</v>
      </c>
      <c r="AB20">
        <f t="shared" si="15"/>
        <v>8</v>
      </c>
      <c r="AC20">
        <f t="shared" si="16"/>
        <v>1</v>
      </c>
      <c r="AD20">
        <f t="shared" si="17"/>
        <v>7</v>
      </c>
    </row>
    <row r="21" spans="1:30" x14ac:dyDescent="0.35">
      <c r="B21" t="str">
        <f>Data!B14</f>
        <v>Columbus Blue Jackets</v>
      </c>
      <c r="C21" s="4">
        <f>Data!E14</f>
        <v>56.8</v>
      </c>
      <c r="D21" s="4">
        <f>Data!N14</f>
        <v>9.0999999999999943</v>
      </c>
      <c r="E21" s="4">
        <f>Data!M14</f>
        <v>2.9000000000000057</v>
      </c>
      <c r="F21" s="4">
        <f>Data!Q14</f>
        <v>53.588182632050128</v>
      </c>
      <c r="G21" s="4">
        <f>Data!S14</f>
        <v>50.81022900555984</v>
      </c>
      <c r="H21" s="72">
        <f>Data!H14</f>
        <v>100.3</v>
      </c>
      <c r="I21" s="4">
        <f t="shared" si="0"/>
        <v>57.762631600124777</v>
      </c>
      <c r="J21" s="4">
        <f t="shared" si="1"/>
        <v>-0.96263160012478011</v>
      </c>
      <c r="K21" s="4">
        <f t="shared" si="2"/>
        <v>56.973496515521511</v>
      </c>
      <c r="L21" s="4">
        <f t="shared" si="3"/>
        <v>-0.17349651552151357</v>
      </c>
      <c r="M21" s="4">
        <f t="shared" si="4"/>
        <v>2.7779536264902873</v>
      </c>
      <c r="N21" s="72">
        <f t="shared" si="5"/>
        <v>4.9679690162665793</v>
      </c>
      <c r="O21" s="72">
        <f t="shared" si="6"/>
        <v>4.132030983733415</v>
      </c>
      <c r="P21">
        <f>RANK(J21,$J$9:$J$40,0)+COUNTIF($J$9:J20,J21)</f>
        <v>19</v>
      </c>
      <c r="Q21">
        <f>RANK(L21,$L$9:$L$40,0)+COUNTIF($L$9:L20,L21)</f>
        <v>15</v>
      </c>
      <c r="R21">
        <f>RANK(M21,$M$9:$M$40,0)+COUNTIF($M$9:M20,M21)</f>
        <v>11</v>
      </c>
      <c r="S21" s="72">
        <f>RANK(O21,$O$9:$O$40,0)+COUNTIF($O$9:O20,O21)</f>
        <v>8</v>
      </c>
      <c r="T21">
        <f t="shared" si="7"/>
        <v>0</v>
      </c>
      <c r="U21">
        <f t="shared" si="8"/>
        <v>0</v>
      </c>
      <c r="V21">
        <f t="shared" si="9"/>
        <v>0</v>
      </c>
      <c r="W21" s="66">
        <f t="shared" si="10"/>
        <v>3</v>
      </c>
      <c r="X21">
        <f t="shared" si="11"/>
        <v>0</v>
      </c>
      <c r="Y21">
        <f t="shared" si="12"/>
        <v>0</v>
      </c>
      <c r="Z21">
        <f t="shared" si="13"/>
        <v>0</v>
      </c>
      <c r="AA21" s="66">
        <f t="shared" si="14"/>
        <v>0</v>
      </c>
      <c r="AB21">
        <f t="shared" si="15"/>
        <v>3</v>
      </c>
      <c r="AC21">
        <f t="shared" si="16"/>
        <v>0</v>
      </c>
      <c r="AD21">
        <f t="shared" si="17"/>
        <v>3</v>
      </c>
    </row>
    <row r="22" spans="1:30" x14ac:dyDescent="0.35">
      <c r="B22" t="str">
        <f>Data!B15</f>
        <v>New York Islanders</v>
      </c>
      <c r="C22" s="4">
        <f>Data!E15</f>
        <v>56.2</v>
      </c>
      <c r="D22" s="4">
        <f>Data!N15</f>
        <v>1.5999999999999943</v>
      </c>
      <c r="E22" s="4">
        <f>Data!M15</f>
        <v>-13.599999999999994</v>
      </c>
      <c r="F22" s="4">
        <f>Data!Q15</f>
        <v>46.032753864342951</v>
      </c>
      <c r="G22" s="4">
        <f>Data!S15</f>
        <v>46.102379977809868</v>
      </c>
      <c r="H22" s="72">
        <f>Data!H15</f>
        <v>99.5</v>
      </c>
      <c r="I22" s="4">
        <f t="shared" si="0"/>
        <v>56.535718940228044</v>
      </c>
      <c r="J22" s="4">
        <f t="shared" si="1"/>
        <v>-0.33571894022804116</v>
      </c>
      <c r="K22" s="4">
        <f t="shared" si="2"/>
        <v>53.007838879012255</v>
      </c>
      <c r="L22" s="4">
        <f t="shared" si="3"/>
        <v>3.1921611209877483</v>
      </c>
      <c r="M22" s="4">
        <f t="shared" si="4"/>
        <v>-6.9626113466917161E-2</v>
      </c>
      <c r="N22" s="72">
        <f t="shared" si="5"/>
        <v>-8.4025580170407466</v>
      </c>
      <c r="O22" s="72">
        <f t="shared" si="6"/>
        <v>10.002558017040741</v>
      </c>
      <c r="P22">
        <f>RANK(J22,$J$9:$J$40,0)+COUNTIF($J$9:J21,J22)</f>
        <v>17</v>
      </c>
      <c r="Q22">
        <f>RANK(L22,$L$9:$L$40,0)+COUNTIF($L$9:L21,L22)</f>
        <v>9</v>
      </c>
      <c r="R22">
        <f>RANK(M22,$M$9:$M$40,0)+COUNTIF($M$9:M21,M22)</f>
        <v>15</v>
      </c>
      <c r="S22" s="72">
        <f>RANK(O22,$O$9:$O$40,0)+COUNTIF($O$9:O21,O22)</f>
        <v>6</v>
      </c>
      <c r="T22">
        <f t="shared" si="7"/>
        <v>0</v>
      </c>
      <c r="U22">
        <f t="shared" si="8"/>
        <v>2</v>
      </c>
      <c r="V22">
        <f t="shared" si="9"/>
        <v>0</v>
      </c>
      <c r="W22" s="66">
        <f t="shared" si="10"/>
        <v>5</v>
      </c>
      <c r="X22">
        <f t="shared" si="11"/>
        <v>0</v>
      </c>
      <c r="Y22">
        <f t="shared" si="12"/>
        <v>0</v>
      </c>
      <c r="Z22">
        <f t="shared" si="13"/>
        <v>0</v>
      </c>
      <c r="AA22" s="66">
        <f t="shared" si="14"/>
        <v>0</v>
      </c>
      <c r="AB22">
        <f t="shared" si="15"/>
        <v>7</v>
      </c>
      <c r="AC22">
        <f t="shared" si="16"/>
        <v>0</v>
      </c>
      <c r="AD22">
        <f t="shared" si="17"/>
        <v>7</v>
      </c>
    </row>
    <row r="23" spans="1:30" x14ac:dyDescent="0.35">
      <c r="B23" t="str">
        <f>Data!B16</f>
        <v>Detroit Red Wings</v>
      </c>
      <c r="C23" s="4">
        <f>Data!E16</f>
        <v>56.899999999999991</v>
      </c>
      <c r="D23" s="4">
        <f>Data!N16</f>
        <v>-18.099999999999994</v>
      </c>
      <c r="E23" s="4">
        <f>Data!M16</f>
        <v>-1.9000000000000057</v>
      </c>
      <c r="F23" s="4">
        <f>Data!Q16</f>
        <v>43.318685260750641</v>
      </c>
      <c r="G23" s="4">
        <f>Data!S16</f>
        <v>49.431326383126859</v>
      </c>
      <c r="H23" s="72">
        <f>Data!H16</f>
        <v>99.1</v>
      </c>
      <c r="I23" s="4">
        <f t="shared" si="0"/>
        <v>53.313028353565961</v>
      </c>
      <c r="J23" s="4">
        <f t="shared" si="1"/>
        <v>3.58697164643403</v>
      </c>
      <c r="K23" s="4">
        <f t="shared" si="2"/>
        <v>55.81985065762791</v>
      </c>
      <c r="L23" s="4">
        <f t="shared" si="3"/>
        <v>1.0801493423720814</v>
      </c>
      <c r="M23" s="4">
        <f t="shared" si="4"/>
        <v>-6.1126411223762176</v>
      </c>
      <c r="N23" s="72">
        <f t="shared" si="5"/>
        <v>-15.087821533694523</v>
      </c>
      <c r="O23" s="72">
        <f t="shared" si="6"/>
        <v>-3.0121784663054711</v>
      </c>
      <c r="P23">
        <f>RANK(J23,$J$9:$J$40,0)+COUNTIF($J$9:J22,J23)</f>
        <v>12</v>
      </c>
      <c r="Q23">
        <f>RANK(L23,$L$9:$L$40,0)+COUNTIF($L$9:L22,L23)</f>
        <v>11</v>
      </c>
      <c r="R23">
        <f>RANK(M23,$M$9:$M$40,0)+COUNTIF($M$9:M22,M23)</f>
        <v>26</v>
      </c>
      <c r="S23" s="72">
        <f>RANK(O23,$O$9:$O$40,0)+COUNTIF($O$9:O22,O23)</f>
        <v>19</v>
      </c>
      <c r="T23">
        <f t="shared" si="7"/>
        <v>0</v>
      </c>
      <c r="U23">
        <f t="shared" si="8"/>
        <v>0</v>
      </c>
      <c r="V23">
        <f t="shared" si="9"/>
        <v>0</v>
      </c>
      <c r="W23" s="66">
        <f t="shared" si="10"/>
        <v>0</v>
      </c>
      <c r="X23">
        <f t="shared" si="11"/>
        <v>0</v>
      </c>
      <c r="Y23">
        <f t="shared" si="12"/>
        <v>0</v>
      </c>
      <c r="Z23">
        <f t="shared" si="13"/>
        <v>4</v>
      </c>
      <c r="AA23" s="66">
        <f t="shared" si="14"/>
        <v>0</v>
      </c>
      <c r="AB23">
        <f t="shared" si="15"/>
        <v>0</v>
      </c>
      <c r="AC23">
        <f t="shared" si="16"/>
        <v>4</v>
      </c>
      <c r="AD23">
        <f t="shared" si="17"/>
        <v>-4</v>
      </c>
    </row>
    <row r="24" spans="1:30" x14ac:dyDescent="0.35">
      <c r="B24" t="str">
        <f>Data!B17</f>
        <v>Vegas Golden Knights</v>
      </c>
      <c r="C24" s="4">
        <f>Data!E17</f>
        <v>56.899999999999991</v>
      </c>
      <c r="D24" s="4">
        <f>Data!N17</f>
        <v>-34.099999999999994</v>
      </c>
      <c r="E24" s="4">
        <f>Data!M17</f>
        <v>32.099999999999994</v>
      </c>
      <c r="F24" s="4">
        <f>Data!Q17</f>
        <v>49.408304740564382</v>
      </c>
      <c r="G24" s="4">
        <f>Data!S17</f>
        <v>59.904014355926435</v>
      </c>
      <c r="H24" s="72">
        <f>Data!H17</f>
        <v>98.3</v>
      </c>
      <c r="I24" s="4">
        <f t="shared" si="0"/>
        <v>50.695614679119601</v>
      </c>
      <c r="J24" s="4">
        <f t="shared" si="1"/>
        <v>6.204385320880391</v>
      </c>
      <c r="K24" s="4">
        <f t="shared" si="2"/>
        <v>63.991508817707583</v>
      </c>
      <c r="L24" s="4">
        <f t="shared" si="3"/>
        <v>-7.0915088177075916</v>
      </c>
      <c r="M24" s="4">
        <f t="shared" si="4"/>
        <v>-10.495709615362053</v>
      </c>
      <c r="N24" s="72">
        <f t="shared" si="5"/>
        <v>-28.458348567002076</v>
      </c>
      <c r="O24" s="72">
        <f t="shared" si="6"/>
        <v>-5.6416514329979179</v>
      </c>
      <c r="P24">
        <f>RANK(J24,$J$9:$J$40,0)+COUNTIF($J$9:J23,J24)</f>
        <v>5</v>
      </c>
      <c r="Q24">
        <f>RANK(L24,$L$9:$L$40,0)+COUNTIF($L$9:L23,L24)</f>
        <v>30</v>
      </c>
      <c r="R24">
        <f>RANK(M24,$M$9:$M$40,0)+COUNTIF($M$9:M23,M24)</f>
        <v>30</v>
      </c>
      <c r="S24" s="72">
        <f>RANK(O24,$O$9:$O$40,0)+COUNTIF($O$9:O23,O24)</f>
        <v>24</v>
      </c>
      <c r="T24">
        <f t="shared" si="7"/>
        <v>6</v>
      </c>
      <c r="U24">
        <f t="shared" si="8"/>
        <v>0</v>
      </c>
      <c r="V24">
        <f t="shared" si="9"/>
        <v>0</v>
      </c>
      <c r="W24" s="66">
        <f t="shared" si="10"/>
        <v>0</v>
      </c>
      <c r="X24">
        <f t="shared" si="11"/>
        <v>0</v>
      </c>
      <c r="Y24">
        <f t="shared" si="12"/>
        <v>8</v>
      </c>
      <c r="Z24">
        <f t="shared" si="13"/>
        <v>8</v>
      </c>
      <c r="AA24" s="66">
        <f t="shared" si="14"/>
        <v>2</v>
      </c>
      <c r="AB24">
        <f t="shared" si="15"/>
        <v>6</v>
      </c>
      <c r="AC24">
        <f t="shared" si="16"/>
        <v>18</v>
      </c>
      <c r="AD24">
        <f t="shared" si="17"/>
        <v>-12</v>
      </c>
    </row>
    <row r="25" spans="1:30" x14ac:dyDescent="0.35">
      <c r="B25" t="str">
        <f>Data!B18</f>
        <v>Edmonton Oilers</v>
      </c>
      <c r="C25" s="4">
        <f>Data!E18</f>
        <v>56.3</v>
      </c>
      <c r="D25" s="4">
        <f>Data!N18</f>
        <v>-32.299999999999983</v>
      </c>
      <c r="E25" s="4">
        <f>Data!M18</f>
        <v>16.299999999999983</v>
      </c>
      <c r="F25" s="4">
        <f>Data!Q18</f>
        <v>45.514678089958423</v>
      </c>
      <c r="G25" s="4">
        <f>Data!S18</f>
        <v>54.557599184602715</v>
      </c>
      <c r="H25" s="72">
        <f>Data!H18</f>
        <v>98.4</v>
      </c>
      <c r="I25" s="4">
        <f t="shared" si="0"/>
        <v>50.990073717494816</v>
      </c>
      <c r="J25" s="4">
        <f t="shared" si="1"/>
        <v>5.309926282505181</v>
      </c>
      <c r="K25" s="4">
        <f t="shared" si="2"/>
        <v>60.194091202141145</v>
      </c>
      <c r="L25" s="4">
        <f t="shared" si="3"/>
        <v>-3.8940912021411478</v>
      </c>
      <c r="M25" s="4">
        <f t="shared" si="4"/>
        <v>-9.0429210946442922</v>
      </c>
      <c r="N25" s="72">
        <f t="shared" si="5"/>
        <v>-26.787032687838519</v>
      </c>
      <c r="O25" s="72">
        <f t="shared" si="6"/>
        <v>-5.5129673121614644</v>
      </c>
      <c r="P25">
        <f>RANK(J25,$J$9:$J$40,0)+COUNTIF($J$9:J24,J25)</f>
        <v>6</v>
      </c>
      <c r="Q25">
        <f>RANK(L25,$L$9:$L$40,0)+COUNTIF($L$9:L24,L25)</f>
        <v>24</v>
      </c>
      <c r="R25">
        <f>RANK(M25,$M$9:$M$40,0)+COUNTIF($M$9:M24,M25)</f>
        <v>29</v>
      </c>
      <c r="S25" s="72">
        <f>RANK(O25,$O$9:$O$40,0)+COUNTIF($O$9:O24,O25)</f>
        <v>23</v>
      </c>
      <c r="T25">
        <f t="shared" si="7"/>
        <v>5</v>
      </c>
      <c r="U25">
        <f t="shared" si="8"/>
        <v>0</v>
      </c>
      <c r="V25">
        <f t="shared" si="9"/>
        <v>0</v>
      </c>
      <c r="W25" s="66">
        <f t="shared" si="10"/>
        <v>0</v>
      </c>
      <c r="X25">
        <f t="shared" si="11"/>
        <v>0</v>
      </c>
      <c r="Y25">
        <f t="shared" si="12"/>
        <v>2</v>
      </c>
      <c r="Z25">
        <f t="shared" si="13"/>
        <v>7</v>
      </c>
      <c r="AA25" s="66">
        <f t="shared" si="14"/>
        <v>1</v>
      </c>
      <c r="AB25">
        <f t="shared" si="15"/>
        <v>5</v>
      </c>
      <c r="AC25">
        <f t="shared" si="16"/>
        <v>10</v>
      </c>
      <c r="AD25">
        <f t="shared" si="17"/>
        <v>-5</v>
      </c>
    </row>
    <row r="26" spans="1:30" x14ac:dyDescent="0.35">
      <c r="B26" t="str">
        <f>Data!B19</f>
        <v>Anaheim Ducks</v>
      </c>
      <c r="C26" s="4">
        <f>Data!E19</f>
        <v>56.3</v>
      </c>
      <c r="D26" s="4">
        <f>Data!N19</f>
        <v>-21.900000000000006</v>
      </c>
      <c r="E26" s="4">
        <f>Data!M19</f>
        <v>3.9000000000000057</v>
      </c>
      <c r="F26" s="4">
        <f>Data!Q19</f>
        <v>44.899700550600507</v>
      </c>
      <c r="G26" s="4">
        <f>Data!S19</f>
        <v>51.095681860485975</v>
      </c>
      <c r="H26" s="72">
        <f>Data!H19</f>
        <v>98.6</v>
      </c>
      <c r="I26" s="4">
        <f t="shared" si="0"/>
        <v>52.69139260588495</v>
      </c>
      <c r="J26" s="4">
        <f t="shared" si="1"/>
        <v>3.6086073941150474</v>
      </c>
      <c r="K26" s="4">
        <f t="shared" si="2"/>
        <v>57.213839402582678</v>
      </c>
      <c r="L26" s="4">
        <f t="shared" si="3"/>
        <v>-0.91383940258268126</v>
      </c>
      <c r="M26" s="4">
        <f t="shared" si="4"/>
        <v>-6.1959813098854681</v>
      </c>
      <c r="N26" s="72">
        <f t="shared" si="5"/>
        <v>-23.444400929511858</v>
      </c>
      <c r="O26" s="72">
        <f t="shared" si="6"/>
        <v>1.5444009295118519</v>
      </c>
      <c r="P26">
        <f>RANK(J26,$J$9:$J$40,0)+COUNTIF($J$9:J25,J26)</f>
        <v>11</v>
      </c>
      <c r="Q26">
        <f>RANK(L26,$L$9:$L$40,0)+COUNTIF($L$9:L25,L26)</f>
        <v>18</v>
      </c>
      <c r="R26">
        <f>RANK(M26,$M$9:$M$40,0)+COUNTIF($M$9:M25,M26)</f>
        <v>27</v>
      </c>
      <c r="S26" s="72">
        <f>RANK(O26,$O$9:$O$40,0)+COUNTIF($O$9:O25,O26)</f>
        <v>11</v>
      </c>
      <c r="T26">
        <f t="shared" si="7"/>
        <v>0</v>
      </c>
      <c r="U26">
        <f t="shared" si="8"/>
        <v>0</v>
      </c>
      <c r="V26">
        <f t="shared" si="9"/>
        <v>0</v>
      </c>
      <c r="W26" s="66">
        <f t="shared" si="10"/>
        <v>0</v>
      </c>
      <c r="X26">
        <f t="shared" si="11"/>
        <v>0</v>
      </c>
      <c r="Y26">
        <f t="shared" si="12"/>
        <v>0</v>
      </c>
      <c r="Z26">
        <f t="shared" si="13"/>
        <v>5</v>
      </c>
      <c r="AA26" s="66">
        <f t="shared" si="14"/>
        <v>0</v>
      </c>
      <c r="AB26">
        <f t="shared" si="15"/>
        <v>0</v>
      </c>
      <c r="AC26">
        <f t="shared" si="16"/>
        <v>5</v>
      </c>
      <c r="AD26">
        <f t="shared" si="17"/>
        <v>-5</v>
      </c>
    </row>
    <row r="27" spans="1:30" x14ac:dyDescent="0.35">
      <c r="B27" t="str">
        <f>Data!B20</f>
        <v>Utah Mammoth</v>
      </c>
      <c r="C27" s="4">
        <f>Data!E20</f>
        <v>56.3</v>
      </c>
      <c r="D27" s="4">
        <f>Data!N20</f>
        <v>-2.8000000000000114</v>
      </c>
      <c r="E27" s="4">
        <f>Data!M20</f>
        <v>24.800000000000011</v>
      </c>
      <c r="F27" s="4">
        <f>Data!Q20</f>
        <v>56.481416916533021</v>
      </c>
      <c r="G27" s="4">
        <f>Data!S20</f>
        <v>57.428429549732648</v>
      </c>
      <c r="H27" s="72">
        <f>Data!H20</f>
        <v>100.3</v>
      </c>
      <c r="I27" s="4">
        <f t="shared" si="0"/>
        <v>55.815930179755291</v>
      </c>
      <c r="J27" s="4">
        <f t="shared" si="1"/>
        <v>0.4840698202447058</v>
      </c>
      <c r="K27" s="4">
        <f t="shared" si="2"/>
        <v>62.237005742161074</v>
      </c>
      <c r="L27" s="4">
        <f t="shared" si="3"/>
        <v>-5.9370057421610767</v>
      </c>
      <c r="M27" s="4">
        <f t="shared" si="4"/>
        <v>-0.94701263319962692</v>
      </c>
      <c r="N27" s="72">
        <f t="shared" si="5"/>
        <v>4.9679690162665793</v>
      </c>
      <c r="O27" s="72">
        <f t="shared" si="6"/>
        <v>-7.7679690162665906</v>
      </c>
      <c r="P27">
        <f>RANK(J27,$J$9:$J$40,0)+COUNTIF($J$9:J26,J27)</f>
        <v>16</v>
      </c>
      <c r="Q27">
        <f>RANK(L27,$L$9:$L$40,0)+COUNTIF($L$9:L26,L27)</f>
        <v>29</v>
      </c>
      <c r="R27">
        <f>RANK(M27,$M$9:$M$40,0)+COUNTIF($M$9:M26,M27)</f>
        <v>18</v>
      </c>
      <c r="S27" s="72">
        <f>RANK(O27,$O$9:$O$40,0)+COUNTIF($O$9:O26,O27)</f>
        <v>26</v>
      </c>
      <c r="T27">
        <f t="shared" si="7"/>
        <v>0</v>
      </c>
      <c r="U27">
        <f t="shared" si="8"/>
        <v>0</v>
      </c>
      <c r="V27">
        <f t="shared" si="9"/>
        <v>0</v>
      </c>
      <c r="W27" s="66">
        <f t="shared" si="10"/>
        <v>0</v>
      </c>
      <c r="X27">
        <f t="shared" si="11"/>
        <v>0</v>
      </c>
      <c r="Y27">
        <f t="shared" si="12"/>
        <v>7</v>
      </c>
      <c r="Z27">
        <f t="shared" si="13"/>
        <v>0</v>
      </c>
      <c r="AA27" s="66">
        <f t="shared" si="14"/>
        <v>4</v>
      </c>
      <c r="AB27">
        <f t="shared" si="15"/>
        <v>0</v>
      </c>
      <c r="AC27">
        <f t="shared" si="16"/>
        <v>11</v>
      </c>
      <c r="AD27">
        <f t="shared" si="17"/>
        <v>-11</v>
      </c>
    </row>
    <row r="28" spans="1:30" x14ac:dyDescent="0.35">
      <c r="B28" t="str">
        <f>Data!B21</f>
        <v>Los Angeles Kings</v>
      </c>
      <c r="C28" s="4">
        <f>Data!E21</f>
        <v>55.1</v>
      </c>
      <c r="D28" s="4">
        <f>Data!N21</f>
        <v>2.5</v>
      </c>
      <c r="E28" s="4">
        <f>Data!M21</f>
        <v>6.5</v>
      </c>
      <c r="F28" s="4">
        <f>Data!Q21</f>
        <v>53.222453222453225</v>
      </c>
      <c r="G28" s="4">
        <f>Data!S21</f>
        <v>52.056742390899544</v>
      </c>
      <c r="H28" s="72">
        <f>Data!H21</f>
        <v>100.1</v>
      </c>
      <c r="I28" s="4">
        <f t="shared" si="0"/>
        <v>56.682948459415655</v>
      </c>
      <c r="J28" s="4">
        <f t="shared" si="1"/>
        <v>-1.582948459415654</v>
      </c>
      <c r="K28" s="4">
        <f t="shared" si="2"/>
        <v>57.838730908941713</v>
      </c>
      <c r="L28" s="4">
        <f t="shared" si="3"/>
        <v>-2.7387309089417116</v>
      </c>
      <c r="M28" s="4">
        <f t="shared" si="4"/>
        <v>1.1657108315536817</v>
      </c>
      <c r="N28" s="72">
        <f t="shared" si="5"/>
        <v>1.625337257939691</v>
      </c>
      <c r="O28" s="72">
        <f t="shared" si="6"/>
        <v>0.87466274206030903</v>
      </c>
      <c r="P28">
        <f>RANK(J28,$J$9:$J$40,0)+COUNTIF($J$9:J27,J28)</f>
        <v>20</v>
      </c>
      <c r="Q28">
        <f>RANK(L28,$L$9:$L$40,0)+COUNTIF($L$9:L27,L28)</f>
        <v>22</v>
      </c>
      <c r="R28">
        <f>RANK(M28,$M$9:$M$40,0)+COUNTIF($M$9:M27,M28)</f>
        <v>14</v>
      </c>
      <c r="S28" s="72">
        <f>RANK(O28,$O$9:$O$40,0)+COUNTIF($O$9:O27,O28)</f>
        <v>12</v>
      </c>
      <c r="T28">
        <f t="shared" si="7"/>
        <v>0</v>
      </c>
      <c r="U28">
        <f t="shared" si="8"/>
        <v>0</v>
      </c>
      <c r="V28">
        <f t="shared" si="9"/>
        <v>0</v>
      </c>
      <c r="W28" s="66">
        <f t="shared" si="10"/>
        <v>0</v>
      </c>
      <c r="X28">
        <f t="shared" si="11"/>
        <v>0</v>
      </c>
      <c r="Y28">
        <f t="shared" si="12"/>
        <v>0</v>
      </c>
      <c r="Z28">
        <f t="shared" si="13"/>
        <v>0</v>
      </c>
      <c r="AA28" s="66">
        <f t="shared" si="14"/>
        <v>0</v>
      </c>
      <c r="AB28">
        <f t="shared" si="15"/>
        <v>0</v>
      </c>
      <c r="AC28">
        <f t="shared" si="16"/>
        <v>0</v>
      </c>
      <c r="AD28">
        <f t="shared" si="17"/>
        <v>0</v>
      </c>
    </row>
    <row r="29" spans="1:30" x14ac:dyDescent="0.35">
      <c r="B29" t="str">
        <f>Data!B22</f>
        <v>New Jersey Devils</v>
      </c>
      <c r="C29" s="4">
        <f>Data!E22</f>
        <v>53.7</v>
      </c>
      <c r="D29" s="4">
        <f>Data!N22</f>
        <v>-41.5</v>
      </c>
      <c r="E29" s="4">
        <f>Data!M22</f>
        <v>-1.5</v>
      </c>
      <c r="F29" s="4">
        <f>Data!Q22</f>
        <v>36.598927518451831</v>
      </c>
      <c r="G29" s="4">
        <f>Data!S22</f>
        <v>49.580895878095156</v>
      </c>
      <c r="H29" s="72">
        <f>Data!H22</f>
        <v>97.6</v>
      </c>
      <c r="I29" s="4">
        <f t="shared" si="0"/>
        <v>49.485060854688157</v>
      </c>
      <c r="J29" s="4">
        <f t="shared" si="1"/>
        <v>4.2149391453118454</v>
      </c>
      <c r="K29" s="4">
        <f t="shared" si="2"/>
        <v>55.915987812452379</v>
      </c>
      <c r="L29" s="4">
        <f t="shared" si="3"/>
        <v>-2.2159878124523757</v>
      </c>
      <c r="M29" s="4">
        <f t="shared" si="4"/>
        <v>-12.981968359643325</v>
      </c>
      <c r="N29" s="72">
        <f t="shared" si="5"/>
        <v>-40.157559721146299</v>
      </c>
      <c r="O29" s="72">
        <f t="shared" si="6"/>
        <v>-1.3424402788537009</v>
      </c>
      <c r="P29">
        <f>RANK(J29,$J$9:$J$40,0)+COUNTIF($J$9:J28,J29)</f>
        <v>10</v>
      </c>
      <c r="Q29">
        <f>RANK(L29,$L$9:$L$40,0)+COUNTIF($L$9:L28,L29)</f>
        <v>21</v>
      </c>
      <c r="R29">
        <f>RANK(M29,$M$9:$M$40,0)+COUNTIF($M$9:M28,M29)</f>
        <v>32</v>
      </c>
      <c r="S29" s="72">
        <f>RANK(O29,$O$9:$O$40,0)+COUNTIF($O$9:O28,O29)</f>
        <v>17</v>
      </c>
      <c r="T29">
        <f t="shared" si="7"/>
        <v>1</v>
      </c>
      <c r="U29">
        <f t="shared" si="8"/>
        <v>0</v>
      </c>
      <c r="V29">
        <f t="shared" si="9"/>
        <v>0</v>
      </c>
      <c r="W29" s="66">
        <f t="shared" si="10"/>
        <v>0</v>
      </c>
      <c r="X29">
        <f t="shared" si="11"/>
        <v>0</v>
      </c>
      <c r="Y29">
        <f t="shared" si="12"/>
        <v>0</v>
      </c>
      <c r="Z29">
        <f t="shared" si="13"/>
        <v>10</v>
      </c>
      <c r="AA29" s="66">
        <f t="shared" si="14"/>
        <v>0</v>
      </c>
      <c r="AB29">
        <f t="shared" si="15"/>
        <v>1</v>
      </c>
      <c r="AC29">
        <f t="shared" si="16"/>
        <v>10</v>
      </c>
      <c r="AD29">
        <f t="shared" si="17"/>
        <v>-9</v>
      </c>
    </row>
    <row r="30" spans="1:30" x14ac:dyDescent="0.35">
      <c r="B30" t="str">
        <f>Data!B23</f>
        <v>Nashville Predators</v>
      </c>
      <c r="C30" s="4">
        <f>Data!E23</f>
        <v>53.800000000000004</v>
      </c>
      <c r="D30" s="4">
        <f>Data!N23</f>
        <v>-12.400000000000006</v>
      </c>
      <c r="E30" s="4">
        <f>Data!M23</f>
        <v>-14.599999999999994</v>
      </c>
      <c r="F30" s="4">
        <f>Data!Q23</f>
        <v>41.698871099773463</v>
      </c>
      <c r="G30" s="4">
        <f>Data!S23</f>
        <v>45.930824989651455</v>
      </c>
      <c r="H30" s="72">
        <f>Data!H23</f>
        <v>99.4</v>
      </c>
      <c r="I30" s="4">
        <f t="shared" si="0"/>
        <v>54.245481975087479</v>
      </c>
      <c r="J30" s="4">
        <f t="shared" si="1"/>
        <v>-0.44548197508747478</v>
      </c>
      <c r="K30" s="4">
        <f t="shared" si="2"/>
        <v>52.767495991951094</v>
      </c>
      <c r="L30" s="4">
        <f t="shared" si="3"/>
        <v>1.0325040080489103</v>
      </c>
      <c r="M30" s="4">
        <f t="shared" si="4"/>
        <v>-4.2319538898779925</v>
      </c>
      <c r="N30" s="72">
        <f t="shared" si="5"/>
        <v>-10.073873896204077</v>
      </c>
      <c r="O30" s="72">
        <f t="shared" si="6"/>
        <v>-2.3261261037959287</v>
      </c>
      <c r="P30">
        <f>RANK(J30,$J$9:$J$40,0)+COUNTIF($J$9:J29,J30)</f>
        <v>18</v>
      </c>
      <c r="Q30">
        <f>RANK(L30,$L$9:$L$40,0)+COUNTIF($L$9:L29,L30)</f>
        <v>12</v>
      </c>
      <c r="R30">
        <f>RANK(M30,$M$9:$M$40,0)+COUNTIF($M$9:M29,M30)</f>
        <v>23</v>
      </c>
      <c r="S30" s="72">
        <f>RANK(O30,$O$9:$O$40,0)+COUNTIF($O$9:O29,O30)</f>
        <v>18</v>
      </c>
      <c r="T30">
        <f t="shared" si="7"/>
        <v>0</v>
      </c>
      <c r="U30">
        <f t="shared" si="8"/>
        <v>0</v>
      </c>
      <c r="V30">
        <f t="shared" si="9"/>
        <v>0</v>
      </c>
      <c r="W30" s="66">
        <f t="shared" si="10"/>
        <v>0</v>
      </c>
      <c r="X30">
        <f t="shared" si="11"/>
        <v>0</v>
      </c>
      <c r="Y30">
        <f t="shared" si="12"/>
        <v>0</v>
      </c>
      <c r="Z30">
        <f t="shared" si="13"/>
        <v>1</v>
      </c>
      <c r="AA30" s="66">
        <f t="shared" si="14"/>
        <v>0</v>
      </c>
      <c r="AB30">
        <f t="shared" si="15"/>
        <v>0</v>
      </c>
      <c r="AC30">
        <f t="shared" si="16"/>
        <v>1</v>
      </c>
      <c r="AD30">
        <f t="shared" si="17"/>
        <v>-1</v>
      </c>
    </row>
    <row r="31" spans="1:30" x14ac:dyDescent="0.35">
      <c r="B31" t="str">
        <f>Data!B24</f>
        <v>Winnipeg Jets</v>
      </c>
      <c r="C31" s="4">
        <f>Data!E24</f>
        <v>51.9</v>
      </c>
      <c r="D31" s="4">
        <f>Data!N24</f>
        <v>-2.3000000000000114</v>
      </c>
      <c r="E31" s="4">
        <f>Data!M24</f>
        <v>-6.6999999999999886</v>
      </c>
      <c r="F31" s="4">
        <f>Data!Q24</f>
        <v>47.126976032636406</v>
      </c>
      <c r="G31" s="4">
        <f>Data!S24</f>
        <v>47.915627809754938</v>
      </c>
      <c r="H31" s="72">
        <f>Data!H24</f>
        <v>100.1</v>
      </c>
      <c r="I31" s="4">
        <f t="shared" si="0"/>
        <v>55.897724357081742</v>
      </c>
      <c r="J31" s="4">
        <f t="shared" si="1"/>
        <v>-3.9977243570817436</v>
      </c>
      <c r="K31" s="4">
        <f t="shared" si="2"/>
        <v>54.666204799734309</v>
      </c>
      <c r="L31" s="4">
        <f t="shared" si="3"/>
        <v>-2.7662047997343109</v>
      </c>
      <c r="M31" s="4">
        <f t="shared" si="4"/>
        <v>-0.78865177711853107</v>
      </c>
      <c r="N31" s="72">
        <f t="shared" si="5"/>
        <v>1.625337257939691</v>
      </c>
      <c r="O31" s="72">
        <f t="shared" si="6"/>
        <v>-3.9253372579397023</v>
      </c>
      <c r="P31">
        <f>RANK(J31,$J$9:$J$40,0)+COUNTIF($J$9:J30,J31)</f>
        <v>25</v>
      </c>
      <c r="Q31">
        <f>RANK(L31,$L$9:$L$40,0)+COUNTIF($L$9:L30,L31)</f>
        <v>23</v>
      </c>
      <c r="R31">
        <f>RANK(M31,$M$9:$M$40,0)+COUNTIF($M$9:M30,M31)</f>
        <v>17</v>
      </c>
      <c r="S31" s="72">
        <f>RANK(O31,$O$9:$O$40,0)+COUNTIF($O$9:O30,O31)</f>
        <v>22</v>
      </c>
      <c r="T31">
        <f t="shared" si="7"/>
        <v>0</v>
      </c>
      <c r="U31">
        <f t="shared" si="8"/>
        <v>0</v>
      </c>
      <c r="V31">
        <f t="shared" si="9"/>
        <v>0</v>
      </c>
      <c r="W31" s="66">
        <f t="shared" si="10"/>
        <v>0</v>
      </c>
      <c r="X31">
        <f t="shared" si="11"/>
        <v>3</v>
      </c>
      <c r="Y31">
        <f t="shared" si="12"/>
        <v>1</v>
      </c>
      <c r="Z31">
        <f t="shared" si="13"/>
        <v>0</v>
      </c>
      <c r="AA31" s="66">
        <f t="shared" si="14"/>
        <v>0</v>
      </c>
      <c r="AB31">
        <f t="shared" si="15"/>
        <v>0</v>
      </c>
      <c r="AC31">
        <f t="shared" si="16"/>
        <v>4</v>
      </c>
      <c r="AD31">
        <f t="shared" si="17"/>
        <v>-4</v>
      </c>
    </row>
    <row r="32" spans="1:30" x14ac:dyDescent="0.35">
      <c r="B32" t="str">
        <f>Data!B25</f>
        <v>San Jose Sharks</v>
      </c>
      <c r="C32" s="4">
        <f>Data!E25</f>
        <v>51.9</v>
      </c>
      <c r="D32" s="4">
        <f>Data!N25</f>
        <v>-12.5</v>
      </c>
      <c r="E32" s="4">
        <f>Data!M25</f>
        <v>-14.5</v>
      </c>
      <c r="F32" s="4">
        <f>Data!Q25</f>
        <v>42.085603112840467</v>
      </c>
      <c r="G32" s="4">
        <f>Data!S25</f>
        <v>45.665556485232784</v>
      </c>
      <c r="H32" s="72">
        <f>Data!H25</f>
        <v>99.9</v>
      </c>
      <c r="I32" s="4">
        <f t="shared" si="0"/>
        <v>54.229123139622189</v>
      </c>
      <c r="J32" s="4">
        <f t="shared" si="1"/>
        <v>-2.3291231396221903</v>
      </c>
      <c r="K32" s="4">
        <f t="shared" si="2"/>
        <v>52.791530280657206</v>
      </c>
      <c r="L32" s="4">
        <f t="shared" si="3"/>
        <v>-0.89153028065720719</v>
      </c>
      <c r="M32" s="4">
        <f t="shared" si="4"/>
        <v>-3.5799533723923176</v>
      </c>
      <c r="N32" s="72">
        <f t="shared" si="5"/>
        <v>-1.71729450038697</v>
      </c>
      <c r="O32" s="72">
        <f t="shared" si="6"/>
        <v>-10.78270549961303</v>
      </c>
      <c r="P32">
        <f>RANK(J32,$J$9:$J$40,0)+COUNTIF($J$9:J31,J32)</f>
        <v>21</v>
      </c>
      <c r="Q32">
        <f>RANK(L32,$L$9:$L$40,0)+COUNTIF($L$9:L31,L32)</f>
        <v>17</v>
      </c>
      <c r="R32">
        <f>RANK(M32,$M$9:$M$40,0)+COUNTIF($M$9:M31,M32)</f>
        <v>20</v>
      </c>
      <c r="S32" s="72">
        <f>RANK(O32,$O$9:$O$40,0)+COUNTIF($O$9:O31,O32)</f>
        <v>30</v>
      </c>
      <c r="T32">
        <f t="shared" si="7"/>
        <v>0</v>
      </c>
      <c r="U32">
        <f t="shared" si="8"/>
        <v>0</v>
      </c>
      <c r="V32">
        <f t="shared" si="9"/>
        <v>0</v>
      </c>
      <c r="W32" s="66">
        <f t="shared" si="10"/>
        <v>0</v>
      </c>
      <c r="X32">
        <f t="shared" si="11"/>
        <v>0</v>
      </c>
      <c r="Y32">
        <f t="shared" si="12"/>
        <v>0</v>
      </c>
      <c r="Z32">
        <f t="shared" si="13"/>
        <v>0</v>
      </c>
      <c r="AA32" s="66">
        <f t="shared" si="14"/>
        <v>8</v>
      </c>
      <c r="AB32">
        <f t="shared" si="15"/>
        <v>0</v>
      </c>
      <c r="AC32">
        <f t="shared" si="16"/>
        <v>8</v>
      </c>
      <c r="AD32">
        <f t="shared" si="17"/>
        <v>-8</v>
      </c>
    </row>
    <row r="33" spans="2:97" x14ac:dyDescent="0.35">
      <c r="B33" t="str">
        <f>Data!B26</f>
        <v>Florida Panthers</v>
      </c>
      <c r="C33" s="4">
        <f>Data!E26</f>
        <v>50</v>
      </c>
      <c r="D33" s="4">
        <f>Data!N26</f>
        <v>-21.400000000000006</v>
      </c>
      <c r="E33" s="4">
        <f>Data!M26</f>
        <v>-4.5999999999999943</v>
      </c>
      <c r="F33" s="4">
        <f>Data!Q26</f>
        <v>42.169818208366792</v>
      </c>
      <c r="G33" s="4">
        <f>Data!S26</f>
        <v>48.585768821341659</v>
      </c>
      <c r="H33" s="72">
        <f>Data!H26</f>
        <v>98.7</v>
      </c>
      <c r="I33" s="4">
        <f t="shared" si="0"/>
        <v>52.773186783211401</v>
      </c>
      <c r="J33" s="4">
        <f t="shared" si="1"/>
        <v>-2.7731867832114006</v>
      </c>
      <c r="K33" s="4">
        <f t="shared" si="2"/>
        <v>55.170924862562757</v>
      </c>
      <c r="L33" s="4">
        <f t="shared" si="3"/>
        <v>-5.1709248625627566</v>
      </c>
      <c r="M33" s="4">
        <f t="shared" si="4"/>
        <v>-6.4159506129748678</v>
      </c>
      <c r="N33" s="72">
        <f t="shared" si="5"/>
        <v>-21.7730850503483</v>
      </c>
      <c r="O33" s="72">
        <f t="shared" si="6"/>
        <v>0.37308505034829409</v>
      </c>
      <c r="P33">
        <f>RANK(J33,$J$9:$J$40,0)+COUNTIF($J$9:J32,J33)</f>
        <v>22</v>
      </c>
      <c r="Q33">
        <f>RANK(L33,$L$9:$L$40,0)+COUNTIF($L$9:L32,L33)</f>
        <v>27</v>
      </c>
      <c r="R33">
        <f>RANK(M33,$M$9:$M$40,0)+COUNTIF($M$9:M32,M33)</f>
        <v>28</v>
      </c>
      <c r="S33" s="72">
        <f>RANK(O33,$O$9:$O$40,0)+COUNTIF($O$9:O32,O33)</f>
        <v>13</v>
      </c>
      <c r="T33">
        <f t="shared" si="7"/>
        <v>0</v>
      </c>
      <c r="U33">
        <f t="shared" si="8"/>
        <v>0</v>
      </c>
      <c r="V33">
        <f t="shared" si="9"/>
        <v>0</v>
      </c>
      <c r="W33" s="66">
        <f t="shared" si="10"/>
        <v>0</v>
      </c>
      <c r="X33">
        <f t="shared" si="11"/>
        <v>0</v>
      </c>
      <c r="Y33">
        <f t="shared" si="12"/>
        <v>5</v>
      </c>
      <c r="Z33">
        <f t="shared" si="13"/>
        <v>6</v>
      </c>
      <c r="AA33" s="66">
        <f t="shared" si="14"/>
        <v>0</v>
      </c>
      <c r="AB33">
        <f t="shared" si="15"/>
        <v>0</v>
      </c>
      <c r="AC33">
        <f t="shared" si="16"/>
        <v>11</v>
      </c>
      <c r="AD33">
        <f t="shared" si="17"/>
        <v>-11</v>
      </c>
    </row>
    <row r="34" spans="2:97" x14ac:dyDescent="0.35">
      <c r="B34" t="str">
        <f>Data!B27</f>
        <v>St. Louis Blues</v>
      </c>
      <c r="C34" s="4">
        <f>Data!E27</f>
        <v>50.6</v>
      </c>
      <c r="D34" s="4">
        <f>Data!N27</f>
        <v>-13</v>
      </c>
      <c r="E34" s="4">
        <f>Data!M27</f>
        <v>-2</v>
      </c>
      <c r="F34" s="4">
        <f>Data!Q27</f>
        <v>45.248868778280546</v>
      </c>
      <c r="G34" s="4">
        <f>Data!S27</f>
        <v>49.375024413108868</v>
      </c>
      <c r="H34" s="72">
        <f>Data!H27</f>
        <v>99.7</v>
      </c>
      <c r="I34" s="4">
        <f t="shared" si="0"/>
        <v>54.147328962295738</v>
      </c>
      <c r="J34" s="4">
        <f t="shared" si="1"/>
        <v>-3.5473289622957367</v>
      </c>
      <c r="K34" s="4">
        <f t="shared" si="2"/>
        <v>55.795816368921791</v>
      </c>
      <c r="L34" s="4">
        <f t="shared" si="3"/>
        <v>-5.1958163689217898</v>
      </c>
      <c r="M34" s="4">
        <f t="shared" si="4"/>
        <v>-4.1261556348283221</v>
      </c>
      <c r="N34" s="72">
        <f t="shared" si="5"/>
        <v>-5.0599262587138583</v>
      </c>
      <c r="O34" s="72">
        <f t="shared" si="6"/>
        <v>-7.9400737412861417</v>
      </c>
      <c r="P34">
        <f>RANK(J34,$J$9:$J$40,0)+COUNTIF($J$9:J33,J34)</f>
        <v>24</v>
      </c>
      <c r="Q34">
        <f>RANK(L34,$L$9:$L$40,0)+COUNTIF($L$9:L33,L34)</f>
        <v>28</v>
      </c>
      <c r="R34">
        <f>RANK(M34,$M$9:$M$40,0)+COUNTIF($M$9:M33,M34)</f>
        <v>22</v>
      </c>
      <c r="S34" s="72">
        <f>RANK(O34,$O$9:$O$40,0)+COUNTIF($O$9:O33,O34)</f>
        <v>27</v>
      </c>
      <c r="T34">
        <f t="shared" si="7"/>
        <v>0</v>
      </c>
      <c r="U34">
        <f t="shared" si="8"/>
        <v>0</v>
      </c>
      <c r="V34">
        <f t="shared" si="9"/>
        <v>0</v>
      </c>
      <c r="W34" s="66">
        <f t="shared" si="10"/>
        <v>0</v>
      </c>
      <c r="X34">
        <f t="shared" si="11"/>
        <v>2</v>
      </c>
      <c r="Y34">
        <f t="shared" si="12"/>
        <v>6</v>
      </c>
      <c r="Z34">
        <f t="shared" si="13"/>
        <v>0</v>
      </c>
      <c r="AA34" s="66">
        <f t="shared" si="14"/>
        <v>5</v>
      </c>
      <c r="AB34">
        <f t="shared" si="15"/>
        <v>0</v>
      </c>
      <c r="AC34">
        <f t="shared" si="16"/>
        <v>13</v>
      </c>
      <c r="AD34">
        <f t="shared" si="17"/>
        <v>-13</v>
      </c>
    </row>
    <row r="35" spans="2:97" x14ac:dyDescent="0.35">
      <c r="B35" t="str">
        <f>Data!B28</f>
        <v>Seattle Kraken</v>
      </c>
      <c r="C35" s="4">
        <f>Data!E28</f>
        <v>50</v>
      </c>
      <c r="D35" s="4">
        <f>Data!N28</f>
        <v>20.299999999999983</v>
      </c>
      <c r="E35" s="4">
        <f>Data!M28</f>
        <v>-21.299999999999983</v>
      </c>
      <c r="F35" s="4">
        <f>Data!Q28</f>
        <v>49.667777753250483</v>
      </c>
      <c r="G35" s="4">
        <f>Data!S28</f>
        <v>43.411883739633517</v>
      </c>
      <c r="H35" s="72">
        <f>Data!H28</f>
        <v>101.2</v>
      </c>
      <c r="I35" s="4">
        <f t="shared" si="0"/>
        <v>59.594821172237232</v>
      </c>
      <c r="J35" s="4">
        <f t="shared" si="1"/>
        <v>-9.5948211722372321</v>
      </c>
      <c r="K35" s="4">
        <f t="shared" si="2"/>
        <v>51.157198648641277</v>
      </c>
      <c r="L35" s="4">
        <f t="shared" si="3"/>
        <v>-1.1571986486412769</v>
      </c>
      <c r="M35" s="4">
        <f t="shared" si="4"/>
        <v>6.2558940136169667</v>
      </c>
      <c r="N35" s="72">
        <f t="shared" si="5"/>
        <v>20.00981192873769</v>
      </c>
      <c r="O35" s="72">
        <f t="shared" si="6"/>
        <v>0.29018807126229262</v>
      </c>
      <c r="P35">
        <f>RANK(J35,$J$9:$J$40,0)+COUNTIF($J$9:J34,J35)</f>
        <v>29</v>
      </c>
      <c r="Q35">
        <f>RANK(L35,$L$9:$L$40,0)+COUNTIF($L$9:L34,L35)</f>
        <v>19</v>
      </c>
      <c r="R35">
        <f>RANK(M35,$M$9:$M$40,0)+COUNTIF($M$9:M34,M35)</f>
        <v>8</v>
      </c>
      <c r="S35" s="72">
        <f>RANK(O35,$O$9:$O$40,0)+COUNTIF($O$9:O34,O35)</f>
        <v>14</v>
      </c>
      <c r="T35">
        <f t="shared" si="7"/>
        <v>0</v>
      </c>
      <c r="U35">
        <f t="shared" si="8"/>
        <v>0</v>
      </c>
      <c r="V35">
        <f t="shared" si="9"/>
        <v>3</v>
      </c>
      <c r="W35" s="66">
        <f t="shared" si="10"/>
        <v>0</v>
      </c>
      <c r="X35">
        <f t="shared" si="11"/>
        <v>7</v>
      </c>
      <c r="Y35">
        <f t="shared" si="12"/>
        <v>0</v>
      </c>
      <c r="Z35">
        <f t="shared" si="13"/>
        <v>0</v>
      </c>
      <c r="AA35" s="66">
        <f t="shared" si="14"/>
        <v>0</v>
      </c>
      <c r="AB35">
        <f t="shared" si="15"/>
        <v>3</v>
      </c>
      <c r="AC35">
        <f t="shared" si="16"/>
        <v>7</v>
      </c>
      <c r="AD35">
        <f t="shared" si="17"/>
        <v>-4</v>
      </c>
    </row>
    <row r="36" spans="2:97" x14ac:dyDescent="0.35">
      <c r="B36" t="str">
        <f>Data!B29</f>
        <v>Toronto Maple Leafs</v>
      </c>
      <c r="C36" s="4">
        <f>Data!E29</f>
        <v>48.8</v>
      </c>
      <c r="D36" s="4">
        <f>Data!N29</f>
        <v>-2.1999999999999886</v>
      </c>
      <c r="E36" s="4">
        <f>Data!M29</f>
        <v>-33.800000000000011</v>
      </c>
      <c r="F36" s="4">
        <f>Data!Q29</f>
        <v>40.310122878876534</v>
      </c>
      <c r="G36" s="4">
        <f>Data!S29</f>
        <v>40.464178976426503</v>
      </c>
      <c r="H36" s="72">
        <f>Data!H29</f>
        <v>100.1</v>
      </c>
      <c r="I36" s="4">
        <f t="shared" si="0"/>
        <v>55.914083192547032</v>
      </c>
      <c r="J36" s="4">
        <f t="shared" si="1"/>
        <v>-7.1140831925470351</v>
      </c>
      <c r="K36" s="4">
        <f t="shared" si="2"/>
        <v>48.152912560376677</v>
      </c>
      <c r="L36" s="4">
        <f t="shared" si="3"/>
        <v>0.64708743962331994</v>
      </c>
      <c r="M36" s="4">
        <f t="shared" si="4"/>
        <v>-0.15405609754996874</v>
      </c>
      <c r="N36" s="72">
        <f t="shared" si="5"/>
        <v>1.625337257939691</v>
      </c>
      <c r="O36" s="72">
        <f t="shared" si="6"/>
        <v>-3.8253372579396796</v>
      </c>
      <c r="P36">
        <f>RANK(J36,$J$9:$J$40,0)+COUNTIF($J$9:J35,J36)</f>
        <v>27</v>
      </c>
      <c r="Q36">
        <f>RANK(L36,$L$9:$L$40,0)+COUNTIF($L$9:L35,L36)</f>
        <v>13</v>
      </c>
      <c r="R36">
        <f>RANK(M36,$M$9:$M$40,0)+COUNTIF($M$9:M35,M36)</f>
        <v>16</v>
      </c>
      <c r="S36" s="72">
        <f>RANK(O36,$O$9:$O$40,0)+COUNTIF($O$9:O35,O36)</f>
        <v>21</v>
      </c>
      <c r="T36">
        <f t="shared" si="7"/>
        <v>0</v>
      </c>
      <c r="U36">
        <f t="shared" si="8"/>
        <v>0</v>
      </c>
      <c r="V36">
        <f t="shared" si="9"/>
        <v>0</v>
      </c>
      <c r="W36" s="66">
        <f t="shared" si="10"/>
        <v>0</v>
      </c>
      <c r="X36">
        <f t="shared" si="11"/>
        <v>5</v>
      </c>
      <c r="Y36">
        <f t="shared" si="12"/>
        <v>0</v>
      </c>
      <c r="Z36">
        <f t="shared" si="13"/>
        <v>0</v>
      </c>
      <c r="AA36" s="66">
        <f t="shared" si="14"/>
        <v>0</v>
      </c>
      <c r="AB36">
        <f t="shared" si="15"/>
        <v>0</v>
      </c>
      <c r="AC36">
        <f t="shared" si="16"/>
        <v>5</v>
      </c>
      <c r="AD36">
        <f t="shared" si="17"/>
        <v>-5</v>
      </c>
    </row>
    <row r="37" spans="2:97" x14ac:dyDescent="0.35">
      <c r="B37" t="str">
        <f>Data!B30</f>
        <v>Calgary Flames</v>
      </c>
      <c r="C37" s="4">
        <f>Data!E30</f>
        <v>46.9</v>
      </c>
      <c r="D37" s="4">
        <f>Data!N30</f>
        <v>-11.599999999999994</v>
      </c>
      <c r="E37" s="4">
        <f>Data!M30</f>
        <v>-20.400000000000006</v>
      </c>
      <c r="F37" s="4">
        <f>Data!Q30</f>
        <v>39.913671953423005</v>
      </c>
      <c r="G37" s="4">
        <f>Data!S30</f>
        <v>44.177945157114273</v>
      </c>
      <c r="H37" s="72">
        <f>Data!H30</f>
        <v>98.6</v>
      </c>
      <c r="I37" s="4">
        <f t="shared" si="0"/>
        <v>54.376352658809793</v>
      </c>
      <c r="J37" s="4">
        <f t="shared" si="1"/>
        <v>-7.4763526588097946</v>
      </c>
      <c r="K37" s="4">
        <f t="shared" si="2"/>
        <v>51.373507246996319</v>
      </c>
      <c r="L37" s="4">
        <f t="shared" si="3"/>
        <v>-4.47350724699632</v>
      </c>
      <c r="M37" s="4">
        <f t="shared" si="4"/>
        <v>-4.2642732036912676</v>
      </c>
      <c r="N37" s="72">
        <f t="shared" si="5"/>
        <v>-23.444400929511858</v>
      </c>
      <c r="O37" s="72">
        <f t="shared" si="6"/>
        <v>11.844400929511863</v>
      </c>
      <c r="P37">
        <f>RANK(J37,$J$9:$J$40,0)+COUNTIF($J$9:J36,J37)</f>
        <v>28</v>
      </c>
      <c r="Q37">
        <f>RANK(L37,$L$9:$L$40,0)+COUNTIF($L$9:L36,L37)</f>
        <v>25</v>
      </c>
      <c r="R37">
        <f>RANK(M37,$M$9:$M$40,0)+COUNTIF($M$9:M36,M37)</f>
        <v>24</v>
      </c>
      <c r="S37" s="72">
        <f>RANK(O37,$O$9:$O$40,0)+COUNTIF($O$9:O36,O37)</f>
        <v>4</v>
      </c>
      <c r="T37">
        <f t="shared" si="7"/>
        <v>0</v>
      </c>
      <c r="U37">
        <f t="shared" si="8"/>
        <v>0</v>
      </c>
      <c r="V37">
        <f t="shared" si="9"/>
        <v>0</v>
      </c>
      <c r="W37" s="66">
        <f t="shared" si="10"/>
        <v>7</v>
      </c>
      <c r="X37">
        <f t="shared" si="11"/>
        <v>6</v>
      </c>
      <c r="Y37">
        <f t="shared" si="12"/>
        <v>3</v>
      </c>
      <c r="Z37">
        <f t="shared" si="13"/>
        <v>2</v>
      </c>
      <c r="AA37" s="66">
        <f t="shared" si="14"/>
        <v>0</v>
      </c>
      <c r="AB37">
        <f t="shared" si="15"/>
        <v>7</v>
      </c>
      <c r="AC37">
        <f t="shared" si="16"/>
        <v>11</v>
      </c>
      <c r="AD37">
        <f t="shared" si="17"/>
        <v>-4</v>
      </c>
    </row>
    <row r="38" spans="2:97" x14ac:dyDescent="0.35">
      <c r="B38" t="str">
        <f>Data!B31</f>
        <v>New York Rangers</v>
      </c>
      <c r="C38" s="4">
        <f>Data!E31</f>
        <v>46.9</v>
      </c>
      <c r="D38" s="4">
        <f>Data!N31</f>
        <v>4.5999999999999943</v>
      </c>
      <c r="E38" s="4">
        <f>Data!M31</f>
        <v>-7.5999999999999943</v>
      </c>
      <c r="F38" s="4">
        <f>Data!Q31</f>
        <v>48.996756514931214</v>
      </c>
      <c r="G38" s="4">
        <f>Data!S31</f>
        <v>47.568660477583968</v>
      </c>
      <c r="H38" s="72">
        <f>Data!H31</f>
        <v>100.8</v>
      </c>
      <c r="I38" s="4">
        <f t="shared" si="0"/>
        <v>57.026484004186734</v>
      </c>
      <c r="J38" s="4">
        <f t="shared" si="1"/>
        <v>-10.126484004186736</v>
      </c>
      <c r="K38" s="4">
        <f t="shared" si="2"/>
        <v>54.449896201379261</v>
      </c>
      <c r="L38" s="4">
        <f t="shared" si="3"/>
        <v>-7.5498962013792621</v>
      </c>
      <c r="M38" s="4">
        <f t="shared" si="4"/>
        <v>1.4280960373472453</v>
      </c>
      <c r="N38" s="72">
        <f t="shared" si="5"/>
        <v>13.324548412083914</v>
      </c>
      <c r="O38" s="72">
        <f t="shared" si="6"/>
        <v>-8.7245484120839194</v>
      </c>
      <c r="P38">
        <f>RANK(J38,$J$9:$J$40,0)+COUNTIF($J$9:J37,J38)</f>
        <v>30</v>
      </c>
      <c r="Q38">
        <f>RANK(L38,$L$9:$L$40,0)+COUNTIF($L$9:L37,L38)</f>
        <v>31</v>
      </c>
      <c r="R38">
        <f>RANK(M38,$M$9:$M$40,0)+COUNTIF($M$9:M37,M38)</f>
        <v>13</v>
      </c>
      <c r="S38" s="72">
        <f>RANK(O38,$O$9:$O$40,0)+COUNTIF($O$9:O37,O38)</f>
        <v>28</v>
      </c>
      <c r="T38">
        <f t="shared" si="7"/>
        <v>0</v>
      </c>
      <c r="U38">
        <f t="shared" si="8"/>
        <v>0</v>
      </c>
      <c r="V38">
        <f t="shared" si="9"/>
        <v>0</v>
      </c>
      <c r="W38" s="66">
        <f t="shared" si="10"/>
        <v>0</v>
      </c>
      <c r="X38">
        <f t="shared" si="11"/>
        <v>8</v>
      </c>
      <c r="Y38">
        <f t="shared" si="12"/>
        <v>9</v>
      </c>
      <c r="Z38">
        <f t="shared" si="13"/>
        <v>0</v>
      </c>
      <c r="AA38" s="66">
        <f t="shared" si="14"/>
        <v>6</v>
      </c>
      <c r="AB38">
        <f t="shared" si="15"/>
        <v>0</v>
      </c>
      <c r="AC38">
        <f t="shared" si="16"/>
        <v>23</v>
      </c>
      <c r="AD38">
        <f t="shared" si="17"/>
        <v>-23</v>
      </c>
    </row>
    <row r="39" spans="2:97" x14ac:dyDescent="0.35">
      <c r="B39" t="str">
        <f>Data!B32</f>
        <v>Chicago Blackhawks</v>
      </c>
      <c r="C39" s="4">
        <f>Data!E32</f>
        <v>43.8</v>
      </c>
      <c r="D39" s="4">
        <f>Data!N32</f>
        <v>12.900000000000006</v>
      </c>
      <c r="E39" s="4">
        <f>Data!M32</f>
        <v>-58.900000000000006</v>
      </c>
      <c r="F39" s="4">
        <f>Data!Q32</f>
        <v>36.638019938123065</v>
      </c>
      <c r="G39" s="4">
        <f>Data!S32</f>
        <v>33.397433748230597</v>
      </c>
      <c r="H39" s="72">
        <f>Data!H32</f>
        <v>99.6</v>
      </c>
      <c r="I39" s="4">
        <f t="shared" si="0"/>
        <v>58.384267347805789</v>
      </c>
      <c r="J39" s="4">
        <f t="shared" si="1"/>
        <v>-14.584267347805792</v>
      </c>
      <c r="K39" s="4">
        <f t="shared" si="2"/>
        <v>42.120306095141387</v>
      </c>
      <c r="L39" s="4">
        <f t="shared" si="3"/>
        <v>1.6796939048586097</v>
      </c>
      <c r="M39" s="4">
        <f t="shared" si="4"/>
        <v>3.2405861898924684</v>
      </c>
      <c r="N39" s="72">
        <f t="shared" si="5"/>
        <v>-6.7312421378774161</v>
      </c>
      <c r="O39" s="72">
        <f t="shared" si="6"/>
        <v>19.631242137877422</v>
      </c>
      <c r="P39">
        <f>RANK(J39,$J$9:$J$40,0)+COUNTIF($J$9:J38,J39)</f>
        <v>31</v>
      </c>
      <c r="Q39">
        <f>RANK(L39,$L$9:$L$40,0)+COUNTIF($L$9:L38,L39)</f>
        <v>10</v>
      </c>
      <c r="R39">
        <f>RANK(M39,$M$9:$M$40,0)+COUNTIF($M$9:M38,M39)</f>
        <v>10</v>
      </c>
      <c r="S39" s="72">
        <f>RANK(O39,$O$9:$O$40,0)+COUNTIF($O$9:O38,O39)</f>
        <v>2</v>
      </c>
      <c r="T39">
        <f t="shared" si="7"/>
        <v>0</v>
      </c>
      <c r="U39">
        <f t="shared" si="8"/>
        <v>1</v>
      </c>
      <c r="V39">
        <f t="shared" si="9"/>
        <v>1</v>
      </c>
      <c r="W39" s="66">
        <f t="shared" si="10"/>
        <v>9</v>
      </c>
      <c r="X39">
        <f t="shared" si="11"/>
        <v>9</v>
      </c>
      <c r="Y39">
        <f t="shared" si="12"/>
        <v>0</v>
      </c>
      <c r="Z39">
        <f t="shared" si="13"/>
        <v>0</v>
      </c>
      <c r="AA39" s="66">
        <f t="shared" si="14"/>
        <v>0</v>
      </c>
      <c r="AB39">
        <f t="shared" si="15"/>
        <v>11</v>
      </c>
      <c r="AC39">
        <f t="shared" si="16"/>
        <v>9</v>
      </c>
      <c r="AD39">
        <f t="shared" si="17"/>
        <v>2</v>
      </c>
    </row>
    <row r="40" spans="2:97" x14ac:dyDescent="0.35">
      <c r="B40" t="str">
        <f>Data!B33</f>
        <v>Vancouver Canucks</v>
      </c>
      <c r="C40" s="4">
        <f>Data!E33</f>
        <v>35</v>
      </c>
      <c r="D40" s="4">
        <f>Data!N33</f>
        <v>-36.799999999999983</v>
      </c>
      <c r="E40" s="4">
        <f>Data!M33</f>
        <v>-39.200000000000017</v>
      </c>
      <c r="F40" s="4">
        <f>Data!Q33</f>
        <v>28.248275862068965</v>
      </c>
      <c r="G40" s="4">
        <f>Data!S33</f>
        <v>38.926410508351864</v>
      </c>
      <c r="H40" s="72">
        <f>Data!H33</f>
        <v>97.8</v>
      </c>
      <c r="I40" s="4">
        <f t="shared" si="0"/>
        <v>50.253926121556773</v>
      </c>
      <c r="J40" s="4">
        <f t="shared" si="1"/>
        <v>-15.253926121556773</v>
      </c>
      <c r="K40" s="4">
        <f t="shared" si="2"/>
        <v>46.855060970246377</v>
      </c>
      <c r="L40" s="4">
        <f t="shared" si="3"/>
        <v>-11.855060970246377</v>
      </c>
      <c r="M40" s="4">
        <f t="shared" si="4"/>
        <v>-10.678134646282899</v>
      </c>
      <c r="N40" s="72">
        <f t="shared" si="5"/>
        <v>-36.814927962819411</v>
      </c>
      <c r="O40" s="72">
        <f t="shared" si="6"/>
        <v>1.4927962819427876E-2</v>
      </c>
      <c r="P40">
        <f>RANK(J40,$J$9:$J$40,0)+COUNTIF($J$9:J39,J40)</f>
        <v>32</v>
      </c>
      <c r="Q40">
        <f>RANK(L40,$L$9:$L$40,0)+COUNTIF($L$9:L39,L40)</f>
        <v>32</v>
      </c>
      <c r="R40">
        <f>RANK(M40,$M$9:$M$40,0)+COUNTIF($M$9:M39,M40)</f>
        <v>31</v>
      </c>
      <c r="S40" s="72">
        <f>RANK(O40,$O$9:$O$40,0)+COUNTIF($O$9:O39,O40)</f>
        <v>15</v>
      </c>
      <c r="T40">
        <f t="shared" si="7"/>
        <v>0</v>
      </c>
      <c r="U40">
        <f t="shared" si="8"/>
        <v>0</v>
      </c>
      <c r="V40">
        <f t="shared" si="9"/>
        <v>0</v>
      </c>
      <c r="W40" s="66">
        <f t="shared" si="10"/>
        <v>0</v>
      </c>
      <c r="X40">
        <f t="shared" si="11"/>
        <v>10</v>
      </c>
      <c r="Y40">
        <f t="shared" si="12"/>
        <v>10</v>
      </c>
      <c r="Z40">
        <f t="shared" si="13"/>
        <v>9</v>
      </c>
      <c r="AA40" s="66">
        <f t="shared" si="14"/>
        <v>0</v>
      </c>
      <c r="AB40">
        <f t="shared" si="15"/>
        <v>0</v>
      </c>
      <c r="AC40">
        <f t="shared" si="16"/>
        <v>29</v>
      </c>
      <c r="AD40">
        <f t="shared" si="17"/>
        <v>-29</v>
      </c>
    </row>
    <row r="46" spans="2:97" x14ac:dyDescent="0.35">
      <c r="T46" t="str">
        <f>B8</f>
        <v>Team</v>
      </c>
      <c r="U46" t="str">
        <f>AD8</f>
        <v>Total Luck</v>
      </c>
      <c r="V46" t="str">
        <f>E8</f>
        <v>xGDiff</v>
      </c>
      <c r="X46" t="s">
        <v>7</v>
      </c>
      <c r="Y46" t="str">
        <f>V46</f>
        <v>xGDiff</v>
      </c>
      <c r="Z46" t="s">
        <v>125</v>
      </c>
      <c r="AA46" t="s">
        <v>153</v>
      </c>
      <c r="AG46" t="s">
        <v>135</v>
      </c>
      <c r="AH46" t="s">
        <v>136</v>
      </c>
      <c r="AI46" t="s">
        <v>137</v>
      </c>
      <c r="AJ46" t="s">
        <v>145</v>
      </c>
      <c r="AK46" t="s">
        <v>146</v>
      </c>
      <c r="AL46" t="s">
        <v>147</v>
      </c>
      <c r="CA46" t="s">
        <v>7</v>
      </c>
      <c r="CB46" t="s">
        <v>42</v>
      </c>
      <c r="CC46" t="s">
        <v>160</v>
      </c>
      <c r="CE46" t="s">
        <v>161</v>
      </c>
      <c r="CF46" t="s">
        <v>162</v>
      </c>
      <c r="CG46" t="s">
        <v>163</v>
      </c>
      <c r="CI46" t="s">
        <v>164</v>
      </c>
      <c r="CJ46" t="s">
        <v>165</v>
      </c>
      <c r="CK46" t="s">
        <v>166</v>
      </c>
      <c r="CM46" t="s">
        <v>167</v>
      </c>
      <c r="CN46" t="s">
        <v>168</v>
      </c>
      <c r="CO46" t="s">
        <v>169</v>
      </c>
      <c r="CQ46" t="s">
        <v>170</v>
      </c>
      <c r="CR46" t="s">
        <v>171</v>
      </c>
      <c r="CS46" t="s">
        <v>172</v>
      </c>
    </row>
    <row r="47" spans="2:97" x14ac:dyDescent="0.35">
      <c r="T47" t="str">
        <f t="shared" ref="T47:T78" si="18">B9</f>
        <v>Colorado Avalanche*</v>
      </c>
      <c r="U47">
        <f t="shared" ref="U47:U78" si="19">AD9</f>
        <v>22</v>
      </c>
      <c r="V47">
        <f t="shared" ref="V47:V78" si="20">E9</f>
        <v>50.5</v>
      </c>
      <c r="X47" t="s">
        <v>8</v>
      </c>
      <c r="Y47">
        <f t="shared" ref="Y47:Y78" si="21">V47</f>
        <v>50.5</v>
      </c>
      <c r="Z47">
        <v>22</v>
      </c>
      <c r="AA47" t="s">
        <v>138</v>
      </c>
      <c r="AG47">
        <v>72.8</v>
      </c>
      <c r="AH47">
        <v>22</v>
      </c>
      <c r="AI47" t="s">
        <v>138</v>
      </c>
      <c r="AJ47">
        <v>35</v>
      </c>
      <c r="AK47">
        <v>-29</v>
      </c>
      <c r="AL47" t="s">
        <v>152</v>
      </c>
      <c r="CA47" t="s">
        <v>8</v>
      </c>
      <c r="CB47">
        <v>50.5</v>
      </c>
      <c r="CC47">
        <v>22</v>
      </c>
      <c r="CE47">
        <v>50.5</v>
      </c>
      <c r="CF47">
        <v>22</v>
      </c>
      <c r="CG47" t="s">
        <v>138</v>
      </c>
      <c r="CI47">
        <v>-7.6999999999999904</v>
      </c>
      <c r="CJ47">
        <v>27</v>
      </c>
      <c r="CK47" t="s">
        <v>140</v>
      </c>
      <c r="CM47">
        <v>32.1</v>
      </c>
      <c r="CN47">
        <v>-12</v>
      </c>
      <c r="CO47" t="s">
        <v>148</v>
      </c>
      <c r="CQ47">
        <v>-4.5999999999999899</v>
      </c>
      <c r="CR47">
        <v>-11</v>
      </c>
      <c r="CS47" t="s">
        <v>159</v>
      </c>
    </row>
    <row r="48" spans="2:97" x14ac:dyDescent="0.35">
      <c r="T48" t="str">
        <f t="shared" si="18"/>
        <v>Carolina Hurricanes</v>
      </c>
      <c r="U48">
        <f t="shared" si="19"/>
        <v>19</v>
      </c>
      <c r="V48">
        <f t="shared" si="20"/>
        <v>37.099999999999994</v>
      </c>
      <c r="X48" t="s">
        <v>9</v>
      </c>
      <c r="Y48">
        <f t="shared" si="21"/>
        <v>37.099999999999994</v>
      </c>
      <c r="Z48">
        <v>19</v>
      </c>
      <c r="AA48" t="s">
        <v>139</v>
      </c>
      <c r="AG48">
        <v>66.3</v>
      </c>
      <c r="AH48">
        <v>27</v>
      </c>
      <c r="AI48" t="s">
        <v>140</v>
      </c>
      <c r="AJ48">
        <v>46.9</v>
      </c>
      <c r="AK48">
        <v>-23</v>
      </c>
      <c r="AL48" t="s">
        <v>151</v>
      </c>
      <c r="CA48" t="s">
        <v>9</v>
      </c>
      <c r="CB48">
        <v>37.1</v>
      </c>
      <c r="CC48">
        <v>19</v>
      </c>
      <c r="CE48">
        <v>37.1</v>
      </c>
      <c r="CF48">
        <v>19</v>
      </c>
      <c r="CG48" t="s">
        <v>139</v>
      </c>
      <c r="CI48">
        <v>-1.7000000000000199</v>
      </c>
      <c r="CJ48">
        <v>17</v>
      </c>
      <c r="CK48" t="s">
        <v>141</v>
      </c>
      <c r="CQ48">
        <v>-2</v>
      </c>
      <c r="CR48">
        <v>-13</v>
      </c>
      <c r="CS48" t="s">
        <v>158</v>
      </c>
    </row>
    <row r="49" spans="20:97" x14ac:dyDescent="0.35">
      <c r="T49" t="str">
        <f t="shared" si="18"/>
        <v>Dallas Stars*</v>
      </c>
      <c r="U49">
        <f t="shared" si="19"/>
        <v>8</v>
      </c>
      <c r="V49">
        <f t="shared" si="20"/>
        <v>11.400000000000006</v>
      </c>
      <c r="X49" t="s">
        <v>10</v>
      </c>
      <c r="Y49">
        <f t="shared" si="21"/>
        <v>11.400000000000006</v>
      </c>
      <c r="Z49">
        <v>8</v>
      </c>
      <c r="AA49" t="s">
        <v>154</v>
      </c>
      <c r="AG49">
        <v>68.8</v>
      </c>
      <c r="AH49">
        <v>19</v>
      </c>
      <c r="AI49" t="s">
        <v>139</v>
      </c>
      <c r="AJ49">
        <v>46.9</v>
      </c>
      <c r="AK49">
        <v>-4</v>
      </c>
      <c r="AL49" t="s">
        <v>155</v>
      </c>
      <c r="CA49" t="s">
        <v>10</v>
      </c>
      <c r="CB49">
        <v>11.4</v>
      </c>
      <c r="CC49">
        <v>8</v>
      </c>
      <c r="CI49">
        <v>-24.5</v>
      </c>
      <c r="CJ49">
        <v>25</v>
      </c>
      <c r="CK49" t="s">
        <v>144</v>
      </c>
      <c r="CQ49">
        <v>-7.5999999999999899</v>
      </c>
      <c r="CR49">
        <v>-23</v>
      </c>
      <c r="CS49" t="s">
        <v>151</v>
      </c>
    </row>
    <row r="50" spans="20:97" x14ac:dyDescent="0.35">
      <c r="T50" t="str">
        <f t="shared" si="18"/>
        <v>Buffalo Sabres</v>
      </c>
      <c r="U50">
        <f t="shared" si="19"/>
        <v>27</v>
      </c>
      <c r="V50">
        <f t="shared" si="20"/>
        <v>-7.6999999999999886</v>
      </c>
      <c r="X50" t="s">
        <v>11</v>
      </c>
      <c r="Y50">
        <f t="shared" si="21"/>
        <v>-7.6999999999999886</v>
      </c>
      <c r="Z50">
        <v>27</v>
      </c>
      <c r="AA50" t="s">
        <v>140</v>
      </c>
      <c r="AG50">
        <v>60.5</v>
      </c>
      <c r="AH50">
        <v>25</v>
      </c>
      <c r="AI50" t="s">
        <v>144</v>
      </c>
      <c r="CA50" t="s">
        <v>11</v>
      </c>
      <c r="CB50">
        <v>-7.6999999999999904</v>
      </c>
      <c r="CC50">
        <v>27</v>
      </c>
      <c r="CQ50">
        <v>-39.200000000000003</v>
      </c>
      <c r="CR50">
        <v>-29</v>
      </c>
      <c r="CS50" t="s">
        <v>152</v>
      </c>
    </row>
    <row r="51" spans="20:97" x14ac:dyDescent="0.35">
      <c r="T51" t="str">
        <f t="shared" si="18"/>
        <v>Montreal Canadiens</v>
      </c>
      <c r="U51">
        <f t="shared" si="19"/>
        <v>17</v>
      </c>
      <c r="V51">
        <f t="shared" si="20"/>
        <v>-1.7000000000000171</v>
      </c>
      <c r="X51" t="s">
        <v>12</v>
      </c>
      <c r="Y51">
        <f t="shared" si="21"/>
        <v>-1.7000000000000171</v>
      </c>
      <c r="Z51">
        <v>17</v>
      </c>
      <c r="AA51" t="s">
        <v>141</v>
      </c>
      <c r="AG51">
        <v>65.400000000000006</v>
      </c>
      <c r="AH51">
        <v>17</v>
      </c>
      <c r="AI51" t="s">
        <v>141</v>
      </c>
      <c r="CA51" t="s">
        <v>12</v>
      </c>
      <c r="CB51">
        <v>-1.7000000000000199</v>
      </c>
      <c r="CC51">
        <v>17</v>
      </c>
    </row>
    <row r="52" spans="20:97" x14ac:dyDescent="0.35">
      <c r="T52" t="str">
        <f t="shared" si="18"/>
        <v>Tampa Bay Lightning</v>
      </c>
      <c r="U52">
        <f t="shared" si="19"/>
        <v>11</v>
      </c>
      <c r="V52">
        <f t="shared" si="20"/>
        <v>19</v>
      </c>
      <c r="X52" t="s">
        <v>13</v>
      </c>
      <c r="Y52">
        <f t="shared" si="21"/>
        <v>19</v>
      </c>
      <c r="Z52">
        <v>11</v>
      </c>
      <c r="AA52" t="s">
        <v>142</v>
      </c>
      <c r="AG52">
        <v>43.8</v>
      </c>
      <c r="AH52">
        <v>2</v>
      </c>
      <c r="AI52" t="s">
        <v>156</v>
      </c>
      <c r="CA52" t="s">
        <v>13</v>
      </c>
      <c r="CB52">
        <v>19</v>
      </c>
      <c r="CC52">
        <v>11</v>
      </c>
    </row>
    <row r="53" spans="20:97" x14ac:dyDescent="0.35">
      <c r="T53" t="str">
        <f t="shared" si="18"/>
        <v>Minnesota Wild*</v>
      </c>
      <c r="U53">
        <f t="shared" si="19"/>
        <v>15</v>
      </c>
      <c r="V53">
        <f t="shared" si="20"/>
        <v>-4.5999999999999943</v>
      </c>
      <c r="X53" t="s">
        <v>14</v>
      </c>
      <c r="Y53">
        <f t="shared" si="21"/>
        <v>-4.5999999999999943</v>
      </c>
      <c r="Z53">
        <v>15</v>
      </c>
      <c r="AA53" t="s">
        <v>143</v>
      </c>
      <c r="AG53">
        <v>67.5</v>
      </c>
      <c r="AH53">
        <v>8</v>
      </c>
      <c r="AI53" t="s">
        <v>154</v>
      </c>
      <c r="CA53" t="s">
        <v>14</v>
      </c>
      <c r="CB53">
        <v>-4.5999999999999899</v>
      </c>
      <c r="CC53">
        <v>15</v>
      </c>
    </row>
    <row r="54" spans="20:97" x14ac:dyDescent="0.35">
      <c r="T54" t="str">
        <f t="shared" si="18"/>
        <v>Boston Bruins</v>
      </c>
      <c r="U54">
        <f t="shared" si="19"/>
        <v>25</v>
      </c>
      <c r="V54">
        <f t="shared" si="20"/>
        <v>-24.5</v>
      </c>
      <c r="X54" t="s">
        <v>15</v>
      </c>
      <c r="Y54">
        <f t="shared" si="21"/>
        <v>-24.5</v>
      </c>
      <c r="Z54">
        <v>25</v>
      </c>
      <c r="AA54" t="s">
        <v>144</v>
      </c>
      <c r="AG54">
        <v>63.8</v>
      </c>
      <c r="AH54">
        <v>15</v>
      </c>
      <c r="AI54" t="s">
        <v>143</v>
      </c>
      <c r="CA54" t="s">
        <v>15</v>
      </c>
      <c r="CB54">
        <v>-24.5</v>
      </c>
      <c r="CC54">
        <v>25</v>
      </c>
    </row>
    <row r="55" spans="20:97" x14ac:dyDescent="0.35">
      <c r="T55" t="str">
        <f t="shared" si="18"/>
        <v>Pittsburgh Penguins</v>
      </c>
      <c r="U55">
        <f t="shared" si="19"/>
        <v>-3</v>
      </c>
      <c r="V55">
        <f t="shared" si="20"/>
        <v>18.599999999999994</v>
      </c>
      <c r="X55" t="s">
        <v>16</v>
      </c>
      <c r="Y55">
        <f t="shared" si="21"/>
        <v>18.599999999999994</v>
      </c>
      <c r="Z55">
        <v>-3</v>
      </c>
      <c r="AG55">
        <v>65</v>
      </c>
      <c r="AH55">
        <v>11</v>
      </c>
      <c r="AI55" t="s">
        <v>142</v>
      </c>
      <c r="CA55" t="s">
        <v>16</v>
      </c>
      <c r="CB55">
        <v>18.600000000000001</v>
      </c>
      <c r="CC55">
        <v>-3</v>
      </c>
    </row>
    <row r="56" spans="20:97" x14ac:dyDescent="0.35">
      <c r="T56" t="str">
        <f t="shared" si="18"/>
        <v>Ottawa Senators</v>
      </c>
      <c r="U56">
        <f t="shared" si="19"/>
        <v>-7</v>
      </c>
      <c r="V56">
        <f t="shared" si="20"/>
        <v>35.799999999999983</v>
      </c>
      <c r="X56" t="s">
        <v>17</v>
      </c>
      <c r="Y56">
        <f t="shared" si="21"/>
        <v>35.799999999999983</v>
      </c>
      <c r="Z56">
        <v>-7</v>
      </c>
      <c r="CA56" t="s">
        <v>17</v>
      </c>
      <c r="CB56">
        <v>35.799999999999997</v>
      </c>
      <c r="CC56">
        <v>-7</v>
      </c>
    </row>
    <row r="57" spans="20:97" x14ac:dyDescent="0.35">
      <c r="T57" t="str">
        <f t="shared" si="18"/>
        <v>Philadelphia Flyers</v>
      </c>
      <c r="U57">
        <f t="shared" si="19"/>
        <v>-9</v>
      </c>
      <c r="V57">
        <f t="shared" si="20"/>
        <v>15.5</v>
      </c>
      <c r="X57" t="s">
        <v>18</v>
      </c>
      <c r="Y57">
        <f t="shared" si="21"/>
        <v>15.5</v>
      </c>
      <c r="Z57">
        <v>-9</v>
      </c>
      <c r="CA57" t="s">
        <v>18</v>
      </c>
      <c r="CB57">
        <v>15.5</v>
      </c>
      <c r="CC57">
        <v>-9</v>
      </c>
    </row>
    <row r="58" spans="20:97" x14ac:dyDescent="0.35">
      <c r="T58" t="str">
        <f t="shared" si="18"/>
        <v>Washington Capitals</v>
      </c>
      <c r="U58">
        <f t="shared" si="19"/>
        <v>7</v>
      </c>
      <c r="V58">
        <f t="shared" si="20"/>
        <v>4.5</v>
      </c>
      <c r="X58" t="s">
        <v>19</v>
      </c>
      <c r="Y58">
        <f t="shared" si="21"/>
        <v>4.5</v>
      </c>
      <c r="Z58">
        <v>7</v>
      </c>
      <c r="CA58" t="s">
        <v>19</v>
      </c>
      <c r="CB58">
        <v>4.5</v>
      </c>
      <c r="CC58">
        <v>7</v>
      </c>
    </row>
    <row r="59" spans="20:97" x14ac:dyDescent="0.35">
      <c r="T59" t="str">
        <f t="shared" si="18"/>
        <v>Columbus Blue Jackets</v>
      </c>
      <c r="U59">
        <f t="shared" si="19"/>
        <v>3</v>
      </c>
      <c r="V59">
        <f t="shared" si="20"/>
        <v>2.9000000000000057</v>
      </c>
      <c r="X59" t="s">
        <v>20</v>
      </c>
      <c r="Y59">
        <f t="shared" si="21"/>
        <v>2.9000000000000057</v>
      </c>
      <c r="Z59">
        <v>3</v>
      </c>
      <c r="CA59" t="s">
        <v>20</v>
      </c>
      <c r="CB59">
        <v>2.9000000000000101</v>
      </c>
      <c r="CC59">
        <v>3</v>
      </c>
    </row>
    <row r="60" spans="20:97" x14ac:dyDescent="0.35">
      <c r="T60" t="str">
        <f t="shared" si="18"/>
        <v>New York Islanders</v>
      </c>
      <c r="U60">
        <f t="shared" si="19"/>
        <v>7</v>
      </c>
      <c r="V60">
        <f t="shared" si="20"/>
        <v>-13.599999999999994</v>
      </c>
      <c r="X60" t="s">
        <v>21</v>
      </c>
      <c r="Y60">
        <f t="shared" si="21"/>
        <v>-13.599999999999994</v>
      </c>
      <c r="Z60">
        <v>7</v>
      </c>
      <c r="CA60" t="s">
        <v>21</v>
      </c>
      <c r="CB60">
        <v>-13.6</v>
      </c>
      <c r="CC60">
        <v>7</v>
      </c>
    </row>
    <row r="61" spans="20:97" x14ac:dyDescent="0.35">
      <c r="T61" t="str">
        <f t="shared" si="18"/>
        <v>Detroit Red Wings</v>
      </c>
      <c r="U61">
        <f t="shared" si="19"/>
        <v>-4</v>
      </c>
      <c r="V61">
        <f t="shared" si="20"/>
        <v>-1.9000000000000057</v>
      </c>
      <c r="X61" t="s">
        <v>22</v>
      </c>
      <c r="Y61">
        <f t="shared" si="21"/>
        <v>-1.9000000000000057</v>
      </c>
      <c r="Z61">
        <v>-4</v>
      </c>
      <c r="CA61" t="s">
        <v>22</v>
      </c>
      <c r="CB61">
        <v>-1.9000000000000099</v>
      </c>
      <c r="CC61">
        <v>-4</v>
      </c>
    </row>
    <row r="62" spans="20:97" x14ac:dyDescent="0.35">
      <c r="T62" t="str">
        <f t="shared" si="18"/>
        <v>Vegas Golden Knights</v>
      </c>
      <c r="U62">
        <f t="shared" si="19"/>
        <v>-12</v>
      </c>
      <c r="V62">
        <f t="shared" si="20"/>
        <v>32.099999999999994</v>
      </c>
      <c r="X62" t="s">
        <v>23</v>
      </c>
      <c r="Y62">
        <f t="shared" si="21"/>
        <v>32.099999999999994</v>
      </c>
      <c r="Z62">
        <v>-12</v>
      </c>
      <c r="CA62" t="s">
        <v>23</v>
      </c>
      <c r="CB62">
        <v>32.1</v>
      </c>
      <c r="CC62">
        <v>-12</v>
      </c>
    </row>
    <row r="63" spans="20:97" x14ac:dyDescent="0.35">
      <c r="T63" t="str">
        <f t="shared" si="18"/>
        <v>Edmonton Oilers</v>
      </c>
      <c r="U63">
        <f t="shared" si="19"/>
        <v>-5</v>
      </c>
      <c r="V63">
        <f t="shared" si="20"/>
        <v>16.299999999999983</v>
      </c>
      <c r="X63" t="s">
        <v>24</v>
      </c>
      <c r="Y63">
        <f t="shared" si="21"/>
        <v>16.299999999999983</v>
      </c>
      <c r="Z63">
        <v>-5</v>
      </c>
      <c r="CA63" t="s">
        <v>24</v>
      </c>
      <c r="CB63">
        <v>16.3</v>
      </c>
      <c r="CC63">
        <v>-5</v>
      </c>
    </row>
    <row r="64" spans="20:97" x14ac:dyDescent="0.35">
      <c r="T64" t="str">
        <f t="shared" si="18"/>
        <v>Anaheim Ducks</v>
      </c>
      <c r="U64">
        <f t="shared" si="19"/>
        <v>-5</v>
      </c>
      <c r="V64">
        <f t="shared" si="20"/>
        <v>3.9000000000000057</v>
      </c>
      <c r="X64" t="s">
        <v>25</v>
      </c>
      <c r="Y64">
        <f t="shared" si="21"/>
        <v>3.9000000000000057</v>
      </c>
      <c r="Z64">
        <v>-5</v>
      </c>
      <c r="CA64" t="s">
        <v>25</v>
      </c>
      <c r="CB64">
        <v>3.9000000000000101</v>
      </c>
      <c r="CC64">
        <v>-5</v>
      </c>
    </row>
    <row r="65" spans="20:81" x14ac:dyDescent="0.35">
      <c r="T65" t="str">
        <f t="shared" si="18"/>
        <v>Utah Mammoth</v>
      </c>
      <c r="U65">
        <f t="shared" si="19"/>
        <v>-11</v>
      </c>
      <c r="V65">
        <f t="shared" si="20"/>
        <v>24.800000000000011</v>
      </c>
      <c r="X65" t="s">
        <v>26</v>
      </c>
      <c r="Y65">
        <f t="shared" si="21"/>
        <v>24.800000000000011</v>
      </c>
      <c r="Z65">
        <v>-11</v>
      </c>
      <c r="CA65" t="s">
        <v>26</v>
      </c>
      <c r="CB65">
        <v>24.8</v>
      </c>
      <c r="CC65">
        <v>-11</v>
      </c>
    </row>
    <row r="66" spans="20:81" x14ac:dyDescent="0.35">
      <c r="T66" t="str">
        <f t="shared" si="18"/>
        <v>Los Angeles Kings</v>
      </c>
      <c r="U66">
        <f t="shared" si="19"/>
        <v>0</v>
      </c>
      <c r="V66">
        <f t="shared" si="20"/>
        <v>6.5</v>
      </c>
      <c r="X66" t="s">
        <v>27</v>
      </c>
      <c r="Y66">
        <f t="shared" si="21"/>
        <v>6.5</v>
      </c>
      <c r="Z66">
        <v>0</v>
      </c>
      <c r="CA66" t="s">
        <v>27</v>
      </c>
      <c r="CB66">
        <v>6.5</v>
      </c>
      <c r="CC66">
        <v>0</v>
      </c>
    </row>
    <row r="67" spans="20:81" x14ac:dyDescent="0.35">
      <c r="T67" t="str">
        <f t="shared" si="18"/>
        <v>New Jersey Devils</v>
      </c>
      <c r="U67">
        <f t="shared" si="19"/>
        <v>-9</v>
      </c>
      <c r="V67">
        <f t="shared" si="20"/>
        <v>-1.5</v>
      </c>
      <c r="X67" t="s">
        <v>28</v>
      </c>
      <c r="Y67">
        <f t="shared" si="21"/>
        <v>-1.5</v>
      </c>
      <c r="Z67">
        <v>-9</v>
      </c>
      <c r="CA67" t="s">
        <v>28</v>
      </c>
      <c r="CB67">
        <v>-1.5</v>
      </c>
      <c r="CC67">
        <v>-9</v>
      </c>
    </row>
    <row r="68" spans="20:81" x14ac:dyDescent="0.35">
      <c r="T68" t="str">
        <f t="shared" si="18"/>
        <v>Nashville Predators</v>
      </c>
      <c r="U68">
        <f t="shared" si="19"/>
        <v>-1</v>
      </c>
      <c r="V68">
        <f t="shared" si="20"/>
        <v>-14.599999999999994</v>
      </c>
      <c r="X68" t="s">
        <v>29</v>
      </c>
      <c r="Y68">
        <f t="shared" si="21"/>
        <v>-14.599999999999994</v>
      </c>
      <c r="Z68">
        <v>-1</v>
      </c>
      <c r="CA68" t="s">
        <v>29</v>
      </c>
      <c r="CB68">
        <v>-14.6</v>
      </c>
      <c r="CC68">
        <v>-1</v>
      </c>
    </row>
    <row r="69" spans="20:81" x14ac:dyDescent="0.35">
      <c r="T69" t="str">
        <f t="shared" si="18"/>
        <v>Winnipeg Jets</v>
      </c>
      <c r="U69">
        <f t="shared" si="19"/>
        <v>-4</v>
      </c>
      <c r="V69">
        <f t="shared" si="20"/>
        <v>-6.6999999999999886</v>
      </c>
      <c r="X69" t="s">
        <v>30</v>
      </c>
      <c r="Y69">
        <f t="shared" si="21"/>
        <v>-6.6999999999999886</v>
      </c>
      <c r="Z69">
        <v>-4</v>
      </c>
      <c r="CA69" t="s">
        <v>30</v>
      </c>
      <c r="CB69">
        <v>-6.6999999999999904</v>
      </c>
      <c r="CC69">
        <v>-4</v>
      </c>
    </row>
    <row r="70" spans="20:81" x14ac:dyDescent="0.35">
      <c r="T70" t="str">
        <f t="shared" si="18"/>
        <v>San Jose Sharks</v>
      </c>
      <c r="U70">
        <f t="shared" si="19"/>
        <v>-8</v>
      </c>
      <c r="V70">
        <f t="shared" si="20"/>
        <v>-14.5</v>
      </c>
      <c r="X70" t="s">
        <v>31</v>
      </c>
      <c r="Y70">
        <f t="shared" si="21"/>
        <v>-14.5</v>
      </c>
      <c r="Z70">
        <v>-8</v>
      </c>
      <c r="CA70" t="s">
        <v>31</v>
      </c>
      <c r="CB70">
        <v>-14.5</v>
      </c>
      <c r="CC70">
        <v>-8</v>
      </c>
    </row>
    <row r="71" spans="20:81" x14ac:dyDescent="0.35">
      <c r="T71" t="str">
        <f t="shared" si="18"/>
        <v>Florida Panthers</v>
      </c>
      <c r="U71">
        <f t="shared" si="19"/>
        <v>-11</v>
      </c>
      <c r="V71">
        <f t="shared" si="20"/>
        <v>-4.5999999999999943</v>
      </c>
      <c r="X71" t="s">
        <v>32</v>
      </c>
      <c r="Y71">
        <f t="shared" si="21"/>
        <v>-4.5999999999999943</v>
      </c>
      <c r="Z71">
        <v>-11</v>
      </c>
      <c r="CA71" t="s">
        <v>32</v>
      </c>
      <c r="CB71">
        <v>-4.5999999999999899</v>
      </c>
      <c r="CC71">
        <v>-11</v>
      </c>
    </row>
    <row r="72" spans="20:81" x14ac:dyDescent="0.35">
      <c r="T72" t="str">
        <f t="shared" si="18"/>
        <v>St. Louis Blues</v>
      </c>
      <c r="U72">
        <f t="shared" si="19"/>
        <v>-13</v>
      </c>
      <c r="V72">
        <f t="shared" si="20"/>
        <v>-2</v>
      </c>
      <c r="X72" t="s">
        <v>33</v>
      </c>
      <c r="Y72">
        <f t="shared" si="21"/>
        <v>-2</v>
      </c>
      <c r="Z72">
        <v>-13</v>
      </c>
      <c r="CA72" t="s">
        <v>33</v>
      </c>
      <c r="CB72">
        <v>-2</v>
      </c>
      <c r="CC72">
        <v>-13</v>
      </c>
    </row>
    <row r="73" spans="20:81" x14ac:dyDescent="0.35">
      <c r="T73" t="str">
        <f t="shared" si="18"/>
        <v>Seattle Kraken</v>
      </c>
      <c r="U73">
        <f t="shared" si="19"/>
        <v>-4</v>
      </c>
      <c r="V73">
        <f t="shared" si="20"/>
        <v>-21.299999999999983</v>
      </c>
      <c r="X73" t="s">
        <v>34</v>
      </c>
      <c r="Y73">
        <f t="shared" si="21"/>
        <v>-21.299999999999983</v>
      </c>
      <c r="Z73">
        <v>-4</v>
      </c>
      <c r="CA73" t="s">
        <v>34</v>
      </c>
      <c r="CB73">
        <v>-21.3</v>
      </c>
      <c r="CC73">
        <v>-4</v>
      </c>
    </row>
    <row r="74" spans="20:81" x14ac:dyDescent="0.35">
      <c r="T74" t="str">
        <f t="shared" si="18"/>
        <v>Toronto Maple Leafs</v>
      </c>
      <c r="U74">
        <f t="shared" si="19"/>
        <v>-5</v>
      </c>
      <c r="V74">
        <f t="shared" si="20"/>
        <v>-33.800000000000011</v>
      </c>
      <c r="X74" t="s">
        <v>35</v>
      </c>
      <c r="Y74">
        <f t="shared" si="21"/>
        <v>-33.800000000000011</v>
      </c>
      <c r="Z74">
        <v>-5</v>
      </c>
      <c r="CA74" t="s">
        <v>35</v>
      </c>
      <c r="CB74">
        <v>-33.799999999999997</v>
      </c>
      <c r="CC74">
        <v>-5</v>
      </c>
    </row>
    <row r="75" spans="20:81" x14ac:dyDescent="0.35">
      <c r="T75" t="str">
        <f t="shared" si="18"/>
        <v>Calgary Flames</v>
      </c>
      <c r="U75">
        <f t="shared" si="19"/>
        <v>-4</v>
      </c>
      <c r="V75">
        <f t="shared" si="20"/>
        <v>-20.400000000000006</v>
      </c>
      <c r="X75" t="s">
        <v>36</v>
      </c>
      <c r="Y75">
        <f t="shared" si="21"/>
        <v>-20.400000000000006</v>
      </c>
      <c r="Z75">
        <v>-4</v>
      </c>
      <c r="AA75" t="s">
        <v>155</v>
      </c>
      <c r="CA75" t="s">
        <v>36</v>
      </c>
      <c r="CB75">
        <v>-20.399999999999999</v>
      </c>
      <c r="CC75">
        <v>-4</v>
      </c>
    </row>
    <row r="76" spans="20:81" x14ac:dyDescent="0.35">
      <c r="T76" t="str">
        <f t="shared" si="18"/>
        <v>New York Rangers</v>
      </c>
      <c r="U76">
        <f t="shared" si="19"/>
        <v>-23</v>
      </c>
      <c r="V76">
        <f t="shared" si="20"/>
        <v>-7.5999999999999943</v>
      </c>
      <c r="X76" t="s">
        <v>37</v>
      </c>
      <c r="Y76">
        <f t="shared" si="21"/>
        <v>-7.5999999999999943</v>
      </c>
      <c r="Z76">
        <v>-23</v>
      </c>
      <c r="AA76" t="s">
        <v>151</v>
      </c>
      <c r="CA76" t="s">
        <v>37</v>
      </c>
      <c r="CB76">
        <v>-7.5999999999999899</v>
      </c>
      <c r="CC76">
        <v>-23</v>
      </c>
    </row>
    <row r="77" spans="20:81" x14ac:dyDescent="0.35">
      <c r="T77" t="str">
        <f t="shared" si="18"/>
        <v>Chicago Blackhawks</v>
      </c>
      <c r="U77">
        <f t="shared" si="19"/>
        <v>2</v>
      </c>
      <c r="V77">
        <f t="shared" si="20"/>
        <v>-58.900000000000006</v>
      </c>
      <c r="X77" t="s">
        <v>38</v>
      </c>
      <c r="Y77">
        <f t="shared" si="21"/>
        <v>-58.900000000000006</v>
      </c>
      <c r="Z77">
        <v>2</v>
      </c>
      <c r="AA77" t="s">
        <v>156</v>
      </c>
      <c r="CA77" t="s">
        <v>38</v>
      </c>
      <c r="CB77">
        <v>-58.9</v>
      </c>
      <c r="CC77">
        <v>2</v>
      </c>
    </row>
    <row r="78" spans="20:81" x14ac:dyDescent="0.35">
      <c r="T78" t="str">
        <f t="shared" si="18"/>
        <v>Vancouver Canucks</v>
      </c>
      <c r="U78">
        <f t="shared" si="19"/>
        <v>-29</v>
      </c>
      <c r="V78">
        <f t="shared" si="20"/>
        <v>-39.200000000000017</v>
      </c>
      <c r="X78" t="s">
        <v>39</v>
      </c>
      <c r="Y78">
        <f t="shared" si="21"/>
        <v>-39.200000000000017</v>
      </c>
      <c r="Z78">
        <v>-29</v>
      </c>
      <c r="AA78" t="s">
        <v>152</v>
      </c>
      <c r="CA78" t="s">
        <v>39</v>
      </c>
      <c r="CB78">
        <v>-39.200000000000003</v>
      </c>
      <c r="CC78">
        <v>-29</v>
      </c>
    </row>
    <row r="84" spans="52:53" ht="17" x14ac:dyDescent="0.4">
      <c r="AZ84" s="55"/>
    </row>
    <row r="89" spans="52:53" x14ac:dyDescent="0.35">
      <c r="BA89" s="7"/>
    </row>
    <row r="90" spans="52:53" x14ac:dyDescent="0.35">
      <c r="BA90" s="7"/>
    </row>
    <row r="91" spans="52:53" x14ac:dyDescent="0.35">
      <c r="BA91" s="7"/>
    </row>
    <row r="92" spans="52:53" x14ac:dyDescent="0.35">
      <c r="BA92" s="7"/>
    </row>
    <row r="93" spans="52:53" x14ac:dyDescent="0.35">
      <c r="BA93" s="7"/>
    </row>
    <row r="94" spans="52:53" x14ac:dyDescent="0.35">
      <c r="BA94" s="7"/>
    </row>
    <row r="95" spans="52:53" x14ac:dyDescent="0.35">
      <c r="BA95" s="7"/>
    </row>
    <row r="96" spans="52:53" x14ac:dyDescent="0.35">
      <c r="BA96" s="7"/>
    </row>
    <row r="97" spans="53:53" x14ac:dyDescent="0.35">
      <c r="BA97" s="74"/>
    </row>
    <row r="98" spans="53:53" x14ac:dyDescent="0.35">
      <c r="BA98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97F1-2D4E-4F80-83B7-AA48C3C6E48E}">
  <dimension ref="A1:L33"/>
  <sheetViews>
    <sheetView zoomScale="52" workbookViewId="0">
      <selection activeCell="C29" sqref="C29"/>
    </sheetView>
  </sheetViews>
  <sheetFormatPr defaultRowHeight="15.5" x14ac:dyDescent="0.35"/>
  <sheetData>
    <row r="1" spans="1:12" x14ac:dyDescent="0.35">
      <c r="A1" s="6" t="s">
        <v>7</v>
      </c>
      <c r="B1" s="6" t="s">
        <v>174</v>
      </c>
      <c r="C1" s="6" t="s">
        <v>173</v>
      </c>
      <c r="D1" s="6" t="s">
        <v>43</v>
      </c>
      <c r="E1" s="6" t="s">
        <v>157</v>
      </c>
      <c r="G1" s="6" t="s">
        <v>190</v>
      </c>
      <c r="H1" s="6" t="s">
        <v>191</v>
      </c>
    </row>
    <row r="2" spans="1:12" x14ac:dyDescent="0.35">
      <c r="A2" t="s">
        <v>8</v>
      </c>
      <c r="B2" t="s">
        <v>138</v>
      </c>
      <c r="C2">
        <v>4.3861820603669344</v>
      </c>
      <c r="D2">
        <v>10.8822241916916</v>
      </c>
      <c r="E2" t="s">
        <v>138</v>
      </c>
      <c r="G2">
        <f>INTERCEPT($D$2:$D$33,$C$2:$C$33) + SLOPE($D$2:$D$33,$C$2:$C$33)*C2</f>
        <v>2.1959570596861373</v>
      </c>
      <c r="H2">
        <f>D2-G2</f>
        <v>8.6862671320054634</v>
      </c>
      <c r="I2" t="str">
        <f>_xlfn.XLOOKUP(J2,$H$2:$H$33,B2:B33)</f>
        <v>CAR</v>
      </c>
      <c r="J2">
        <f>LARGE($H$2:$H$33,1)</f>
        <v>13.190461460350935</v>
      </c>
      <c r="K2">
        <f>SMALL($H$2:$H$33,1)</f>
        <v>-15.425211849817074</v>
      </c>
      <c r="L2" t="str">
        <f>_xlfn.XLOOKUP(K2,H2:H33,B2:B33)</f>
        <v>CHI</v>
      </c>
    </row>
    <row r="3" spans="1:12" x14ac:dyDescent="0.35">
      <c r="A3" t="s">
        <v>9</v>
      </c>
      <c r="B3" t="s">
        <v>139</v>
      </c>
      <c r="C3">
        <v>3.6067767469865828</v>
      </c>
      <c r="D3">
        <v>14.996206582475301</v>
      </c>
      <c r="E3" t="s">
        <v>139</v>
      </c>
      <c r="G3">
        <f t="shared" ref="G3:G33" si="0">INTERCEPT($D$2:$D$33,$C$2:$C$33) + SLOPE($D$2:$D$33,$C$2:$C$33)*C3</f>
        <v>1.8057451221243659</v>
      </c>
      <c r="H3">
        <f t="shared" ref="H3:H33" si="1">D3-G3</f>
        <v>13.190461460350935</v>
      </c>
      <c r="I3" t="str">
        <f t="shared" ref="I3:I6" si="2">_xlfn.XLOOKUP(J3,$H$2:$H$33,B3:B34)</f>
        <v>EDM</v>
      </c>
      <c r="J3">
        <f>LARGE($H$2:$H$33,2)</f>
        <v>9.7547734802739932</v>
      </c>
      <c r="K3">
        <f>SMALL($H$2:$H$33,2)</f>
        <v>-9.4249228278384667</v>
      </c>
      <c r="L3" t="str">
        <f t="shared" ref="L3:L6" si="3">_xlfn.XLOOKUP(K3,H3:H34,B3:B34)</f>
        <v>BOS</v>
      </c>
    </row>
    <row r="4" spans="1:12" x14ac:dyDescent="0.35">
      <c r="A4" t="s">
        <v>10</v>
      </c>
      <c r="B4" t="s">
        <v>154</v>
      </c>
      <c r="C4">
        <v>8.4835889444585675</v>
      </c>
      <c r="D4">
        <v>8.0196906760198008</v>
      </c>
      <c r="E4" t="s">
        <v>154</v>
      </c>
      <c r="G4">
        <f t="shared" si="0"/>
        <v>4.2473378390728582</v>
      </c>
      <c r="H4">
        <f t="shared" si="1"/>
        <v>3.7723528369469426</v>
      </c>
      <c r="I4" t="str">
        <f t="shared" si="2"/>
        <v>WSH</v>
      </c>
      <c r="J4">
        <f>LARGE($H$2:$H$33,3)</f>
        <v>9.1951267960753746</v>
      </c>
      <c r="K4">
        <f>SMALL($H$2:$H$33,3)</f>
        <v>-9.3186492743289513</v>
      </c>
      <c r="L4" t="str">
        <f t="shared" si="3"/>
        <v>VAN</v>
      </c>
    </row>
    <row r="5" spans="1:12" x14ac:dyDescent="0.35">
      <c r="A5" t="s">
        <v>11</v>
      </c>
      <c r="B5" t="s">
        <v>140</v>
      </c>
      <c r="C5">
        <v>11.874138087326855</v>
      </c>
      <c r="D5">
        <v>3.5315647474965499</v>
      </c>
      <c r="E5" t="s">
        <v>140</v>
      </c>
      <c r="G5">
        <f t="shared" si="0"/>
        <v>5.9448278711832696</v>
      </c>
      <c r="H5">
        <f t="shared" si="1"/>
        <v>-2.4132631236867197</v>
      </c>
      <c r="I5" t="str">
        <f t="shared" si="2"/>
        <v>BUF</v>
      </c>
      <c r="J5">
        <f>LARGE($H$2:$H$33,4)</f>
        <v>8.6862671320054634</v>
      </c>
      <c r="K5">
        <f>SMALL($H$2:$H$33,4)</f>
        <v>-9.0154657084263086</v>
      </c>
      <c r="L5" t="str">
        <f t="shared" si="3"/>
        <v>SEA</v>
      </c>
    </row>
    <row r="6" spans="1:12" x14ac:dyDescent="0.35">
      <c r="A6" t="s">
        <v>12</v>
      </c>
      <c r="B6" t="s">
        <v>141</v>
      </c>
      <c r="C6">
        <v>9.5320807649598649</v>
      </c>
      <c r="D6">
        <v>4.9218017126371301</v>
      </c>
      <c r="G6">
        <f t="shared" si="0"/>
        <v>4.7722688573398866</v>
      </c>
      <c r="H6">
        <f t="shared" si="1"/>
        <v>0.14953285529724347</v>
      </c>
      <c r="I6" t="str">
        <f t="shared" si="2"/>
        <v>NJD</v>
      </c>
      <c r="J6">
        <f>LARGE($H$2:$H$33,5)</f>
        <v>7.2595163699007097</v>
      </c>
      <c r="K6">
        <f>SMALL($H$2:$H$33,5)</f>
        <v>-7.4380497337708684</v>
      </c>
      <c r="L6" t="str">
        <f t="shared" si="3"/>
        <v>TOR</v>
      </c>
    </row>
    <row r="7" spans="1:12" x14ac:dyDescent="0.35">
      <c r="A7" t="s">
        <v>13</v>
      </c>
      <c r="B7" t="s">
        <v>142</v>
      </c>
      <c r="C7">
        <v>4.1569830027937016</v>
      </c>
      <c r="D7">
        <v>4.6363135608941501</v>
      </c>
      <c r="G7">
        <f t="shared" si="0"/>
        <v>2.0812077671067857</v>
      </c>
      <c r="H7">
        <f t="shared" si="1"/>
        <v>2.5551057937873645</v>
      </c>
    </row>
    <row r="8" spans="1:12" x14ac:dyDescent="0.35">
      <c r="A8" t="s">
        <v>14</v>
      </c>
      <c r="B8" t="s">
        <v>143</v>
      </c>
      <c r="C8">
        <v>8.6290751374372476</v>
      </c>
      <c r="D8">
        <v>4.9740440946313997</v>
      </c>
      <c r="G8">
        <f t="shared" si="0"/>
        <v>4.3201759994960636</v>
      </c>
      <c r="H8">
        <f t="shared" si="1"/>
        <v>0.65386809513533617</v>
      </c>
    </row>
    <row r="9" spans="1:12" x14ac:dyDescent="0.35">
      <c r="A9" t="s">
        <v>15</v>
      </c>
      <c r="B9" t="s">
        <v>144</v>
      </c>
      <c r="C9">
        <v>10.111898589954464</v>
      </c>
      <c r="D9">
        <v>-4.3623661920605299</v>
      </c>
      <c r="G9">
        <f t="shared" si="0"/>
        <v>5.0625566357779368</v>
      </c>
      <c r="H9">
        <f t="shared" si="1"/>
        <v>-9.4249228278384667</v>
      </c>
    </row>
    <row r="10" spans="1:12" x14ac:dyDescent="0.35">
      <c r="A10" t="s">
        <v>16</v>
      </c>
      <c r="B10" t="s">
        <v>175</v>
      </c>
      <c r="C10">
        <v>-0.24687984238182992</v>
      </c>
      <c r="D10">
        <v>2.68829189347935</v>
      </c>
      <c r="G10">
        <f t="shared" si="0"/>
        <v>-0.12360123800405937</v>
      </c>
      <c r="H10">
        <f t="shared" si="1"/>
        <v>2.8118931314834095</v>
      </c>
    </row>
    <row r="11" spans="1:12" x14ac:dyDescent="0.35">
      <c r="A11" t="s">
        <v>17</v>
      </c>
      <c r="B11" t="s">
        <v>176</v>
      </c>
      <c r="C11">
        <v>-4.9807774998338985</v>
      </c>
      <c r="D11">
        <v>6.7014834946910602</v>
      </c>
      <c r="E11" t="s">
        <v>176</v>
      </c>
      <c r="G11">
        <f t="shared" si="0"/>
        <v>-2.4936433013843144</v>
      </c>
      <c r="H11">
        <f t="shared" si="1"/>
        <v>9.1951267960753746</v>
      </c>
    </row>
    <row r="12" spans="1:12" x14ac:dyDescent="0.35">
      <c r="A12" t="s">
        <v>18</v>
      </c>
      <c r="B12" t="s">
        <v>177</v>
      </c>
      <c r="C12">
        <v>-1.2018168924922179</v>
      </c>
      <c r="D12">
        <v>3.0985816685017298</v>
      </c>
      <c r="G12">
        <f t="shared" si="0"/>
        <v>-0.60169374029529488</v>
      </c>
      <c r="H12">
        <f t="shared" si="1"/>
        <v>3.7002754087970247</v>
      </c>
    </row>
    <row r="13" spans="1:12" x14ac:dyDescent="0.35">
      <c r="A13" t="s">
        <v>19</v>
      </c>
      <c r="B13" t="s">
        <v>178</v>
      </c>
      <c r="C13">
        <v>4.195486518062097E-2</v>
      </c>
      <c r="D13">
        <v>-3.3726573257380998</v>
      </c>
      <c r="G13">
        <f t="shared" si="0"/>
        <v>2.1004846838000777E-2</v>
      </c>
      <c r="H13">
        <f t="shared" si="1"/>
        <v>-3.3936621725761005</v>
      </c>
    </row>
    <row r="14" spans="1:12" x14ac:dyDescent="0.35">
      <c r="A14" t="s">
        <v>20</v>
      </c>
      <c r="B14" t="s">
        <v>179</v>
      </c>
      <c r="C14">
        <v>-0.17349651552151357</v>
      </c>
      <c r="D14">
        <v>-0.96263160012478</v>
      </c>
      <c r="G14">
        <f t="shared" si="0"/>
        <v>-8.6861624266118556E-2</v>
      </c>
      <c r="H14">
        <f t="shared" si="1"/>
        <v>-0.87576997585866145</v>
      </c>
    </row>
    <row r="15" spans="1:12" x14ac:dyDescent="0.35">
      <c r="A15" t="s">
        <v>21</v>
      </c>
      <c r="B15" t="s">
        <v>180</v>
      </c>
      <c r="C15">
        <v>3.1921611209877483</v>
      </c>
      <c r="D15">
        <v>-0.335718940228041</v>
      </c>
      <c r="G15">
        <f t="shared" si="0"/>
        <v>1.5981663899975564</v>
      </c>
      <c r="H15">
        <f t="shared" si="1"/>
        <v>-1.9338853302255974</v>
      </c>
    </row>
    <row r="16" spans="1:12" x14ac:dyDescent="0.35">
      <c r="A16" t="s">
        <v>22</v>
      </c>
      <c r="B16" t="s">
        <v>181</v>
      </c>
      <c r="C16">
        <v>1.0801493423720814</v>
      </c>
      <c r="D16">
        <v>3.58697164643403</v>
      </c>
      <c r="G16">
        <f t="shared" si="0"/>
        <v>0.54078046493558052</v>
      </c>
      <c r="H16">
        <f t="shared" si="1"/>
        <v>3.0461911814984495</v>
      </c>
    </row>
    <row r="17" spans="1:8" x14ac:dyDescent="0.35">
      <c r="A17" t="s">
        <v>23</v>
      </c>
      <c r="B17" t="s">
        <v>148</v>
      </c>
      <c r="C17">
        <v>-7.0915088177075916</v>
      </c>
      <c r="D17">
        <v>6.2043853208803901</v>
      </c>
      <c r="E17" t="s">
        <v>148</v>
      </c>
      <c r="G17">
        <f t="shared" si="0"/>
        <v>-3.5503881593936035</v>
      </c>
      <c r="H17">
        <f t="shared" si="1"/>
        <v>9.7547734802739932</v>
      </c>
    </row>
    <row r="18" spans="1:8" x14ac:dyDescent="0.35">
      <c r="A18" t="s">
        <v>24</v>
      </c>
      <c r="B18" t="s">
        <v>149</v>
      </c>
      <c r="C18">
        <v>-3.8940912021411478</v>
      </c>
      <c r="D18">
        <v>5.3099262825051801</v>
      </c>
      <c r="G18">
        <f t="shared" si="0"/>
        <v>-1.9495900873955296</v>
      </c>
      <c r="H18">
        <f t="shared" si="1"/>
        <v>7.2595163699007097</v>
      </c>
    </row>
    <row r="19" spans="1:8" x14ac:dyDescent="0.35">
      <c r="A19" t="s">
        <v>25</v>
      </c>
      <c r="B19" t="s">
        <v>182</v>
      </c>
      <c r="C19">
        <v>-0.91383940258268126</v>
      </c>
      <c r="D19">
        <v>3.60860739411505</v>
      </c>
      <c r="G19">
        <f t="shared" si="0"/>
        <v>-0.45751682440488728</v>
      </c>
      <c r="H19">
        <f t="shared" si="1"/>
        <v>4.0661242185199375</v>
      </c>
    </row>
    <row r="20" spans="1:8" x14ac:dyDescent="0.35">
      <c r="A20" t="s">
        <v>26</v>
      </c>
      <c r="B20" t="s">
        <v>183</v>
      </c>
      <c r="C20">
        <v>-5.9370057421610767</v>
      </c>
      <c r="D20">
        <v>0.48406982024470602</v>
      </c>
      <c r="G20">
        <f t="shared" si="0"/>
        <v>-2.9723822434778309</v>
      </c>
      <c r="H20">
        <f t="shared" si="1"/>
        <v>3.4564520637225371</v>
      </c>
    </row>
    <row r="21" spans="1:8" x14ac:dyDescent="0.35">
      <c r="A21" t="s">
        <v>27</v>
      </c>
      <c r="B21" t="s">
        <v>184</v>
      </c>
      <c r="C21">
        <v>-2.7387309089417116</v>
      </c>
      <c r="D21">
        <v>-1.58294845941565</v>
      </c>
      <c r="E21" t="s">
        <v>184</v>
      </c>
      <c r="G21">
        <f t="shared" si="0"/>
        <v>-1.3711550025281012</v>
      </c>
      <c r="H21">
        <f t="shared" si="1"/>
        <v>-0.2117934568875488</v>
      </c>
    </row>
    <row r="22" spans="1:8" x14ac:dyDescent="0.35">
      <c r="A22" t="s">
        <v>28</v>
      </c>
      <c r="B22" t="s">
        <v>150</v>
      </c>
      <c r="C22">
        <v>-2.2159878124523757</v>
      </c>
      <c r="D22">
        <v>4.2149391453118499</v>
      </c>
      <c r="G22">
        <f t="shared" si="0"/>
        <v>-1.1094418822473817</v>
      </c>
      <c r="H22">
        <f t="shared" si="1"/>
        <v>5.324381027559232</v>
      </c>
    </row>
    <row r="23" spans="1:8" x14ac:dyDescent="0.35">
      <c r="A23" t="s">
        <v>29</v>
      </c>
      <c r="B23" t="s">
        <v>185</v>
      </c>
      <c r="C23">
        <v>1.0325040080489103</v>
      </c>
      <c r="D23">
        <v>-0.445481975087475</v>
      </c>
      <c r="G23">
        <f t="shared" si="0"/>
        <v>0.51692666524644482</v>
      </c>
      <c r="H23">
        <f t="shared" si="1"/>
        <v>-0.96240864033391982</v>
      </c>
    </row>
    <row r="24" spans="1:8" x14ac:dyDescent="0.35">
      <c r="A24" t="s">
        <v>30</v>
      </c>
      <c r="B24" t="s">
        <v>186</v>
      </c>
      <c r="C24">
        <v>-2.7662047997343109</v>
      </c>
      <c r="D24">
        <v>-3.99772435708174</v>
      </c>
      <c r="G24">
        <f t="shared" si="0"/>
        <v>-1.3849098999793956</v>
      </c>
      <c r="H24">
        <f t="shared" si="1"/>
        <v>-2.6128144571023446</v>
      </c>
    </row>
    <row r="25" spans="1:8" x14ac:dyDescent="0.35">
      <c r="A25" t="s">
        <v>31</v>
      </c>
      <c r="B25" t="s">
        <v>187</v>
      </c>
      <c r="C25">
        <v>-0.89153028065720719</v>
      </c>
      <c r="D25">
        <v>-2.3291231396221899</v>
      </c>
      <c r="G25">
        <f t="shared" si="0"/>
        <v>-0.44634768616269921</v>
      </c>
      <c r="H25">
        <f t="shared" si="1"/>
        <v>-1.8827754534594907</v>
      </c>
    </row>
    <row r="26" spans="1:8" x14ac:dyDescent="0.35">
      <c r="A26" t="s">
        <v>32</v>
      </c>
      <c r="B26" t="s">
        <v>159</v>
      </c>
      <c r="C26">
        <v>-5.1709248625627566</v>
      </c>
      <c r="D26">
        <v>-2.7731867832114001</v>
      </c>
      <c r="G26">
        <f t="shared" si="0"/>
        <v>-2.5888412292902534</v>
      </c>
      <c r="H26">
        <f t="shared" si="1"/>
        <v>-0.18434555392114671</v>
      </c>
    </row>
    <row r="27" spans="1:8" x14ac:dyDescent="0.35">
      <c r="A27" t="s">
        <v>33</v>
      </c>
      <c r="B27" t="s">
        <v>158</v>
      </c>
      <c r="C27">
        <v>-5.1958163689217898</v>
      </c>
      <c r="D27">
        <v>-3.5473289622957398</v>
      </c>
      <c r="G27">
        <f t="shared" si="0"/>
        <v>-2.6013032471369928</v>
      </c>
      <c r="H27">
        <f t="shared" si="1"/>
        <v>-0.946025715158747</v>
      </c>
    </row>
    <row r="28" spans="1:8" x14ac:dyDescent="0.35">
      <c r="A28" t="s">
        <v>34</v>
      </c>
      <c r="B28" t="s">
        <v>188</v>
      </c>
      <c r="C28">
        <v>-1.1571986486412769</v>
      </c>
      <c r="D28">
        <v>-9.5948211722372303</v>
      </c>
      <c r="E28" t="s">
        <v>188</v>
      </c>
      <c r="G28">
        <f t="shared" si="0"/>
        <v>-0.5793554638109224</v>
      </c>
      <c r="H28">
        <f t="shared" si="1"/>
        <v>-9.0154657084263086</v>
      </c>
    </row>
    <row r="29" spans="1:8" x14ac:dyDescent="0.35">
      <c r="A29" t="s">
        <v>35</v>
      </c>
      <c r="B29" t="s">
        <v>189</v>
      </c>
      <c r="C29">
        <v>0.64708743962331994</v>
      </c>
      <c r="D29">
        <v>-7.1140831925470396</v>
      </c>
      <c r="G29">
        <f t="shared" si="0"/>
        <v>0.32396654122382862</v>
      </c>
      <c r="H29">
        <f t="shared" si="1"/>
        <v>-7.4380497337708684</v>
      </c>
    </row>
    <row r="30" spans="1:8" x14ac:dyDescent="0.35">
      <c r="A30" t="s">
        <v>36</v>
      </c>
      <c r="B30" t="s">
        <v>155</v>
      </c>
      <c r="C30">
        <v>-4.47350724699632</v>
      </c>
      <c r="D30">
        <v>-7.4763526588097902</v>
      </c>
      <c r="E30" t="s">
        <v>155</v>
      </c>
      <c r="G30">
        <f t="shared" si="0"/>
        <v>-2.239676713231733</v>
      </c>
      <c r="H30">
        <f t="shared" si="1"/>
        <v>-5.2366759455780567</v>
      </c>
    </row>
    <row r="31" spans="1:8" x14ac:dyDescent="0.35">
      <c r="A31" t="s">
        <v>37</v>
      </c>
      <c r="B31" t="s">
        <v>151</v>
      </c>
      <c r="C31">
        <v>-7.5498962013792621</v>
      </c>
      <c r="D31">
        <v>-10.1264840041867</v>
      </c>
      <c r="E31" t="s">
        <v>151</v>
      </c>
      <c r="G31">
        <f t="shared" si="0"/>
        <v>-3.7798813718027233</v>
      </c>
      <c r="H31">
        <f t="shared" si="1"/>
        <v>-6.346602632383977</v>
      </c>
    </row>
    <row r="32" spans="1:8" x14ac:dyDescent="0.35">
      <c r="A32" t="s">
        <v>38</v>
      </c>
      <c r="B32" t="s">
        <v>156</v>
      </c>
      <c r="C32">
        <v>1.6796939048586097</v>
      </c>
      <c r="D32">
        <v>-14.584267347805801</v>
      </c>
      <c r="E32" t="s">
        <v>156</v>
      </c>
      <c r="G32">
        <f t="shared" si="0"/>
        <v>0.84094450201127458</v>
      </c>
      <c r="H32">
        <f t="shared" si="1"/>
        <v>-15.425211849817074</v>
      </c>
    </row>
    <row r="33" spans="1:8" x14ac:dyDescent="0.35">
      <c r="A33" t="s">
        <v>39</v>
      </c>
      <c r="B33" t="s">
        <v>152</v>
      </c>
      <c r="C33">
        <v>-11.855060970246377</v>
      </c>
      <c r="D33">
        <v>-15.2539261215568</v>
      </c>
      <c r="E33" t="s">
        <v>152</v>
      </c>
      <c r="G33">
        <f t="shared" si="0"/>
        <v>-5.9352768472278497</v>
      </c>
      <c r="H33">
        <f t="shared" si="1"/>
        <v>-9.3186492743289513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Regression Analysis</vt:lpstr>
      <vt:lpstr>PDO vs Net Luck</vt:lpstr>
      <vt:lpstr>Outlier Analysis</vt:lpstr>
      <vt:lpstr>Step 1 Regressions</vt:lpstr>
      <vt:lpstr>Net Luck Quality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Nathan Mueller</cp:lastModifiedBy>
  <dcterms:created xsi:type="dcterms:W3CDTF">2018-06-07T17:34:22Z</dcterms:created>
  <dcterms:modified xsi:type="dcterms:W3CDTF">2026-04-26T20:20:49Z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